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56AFFD33C265173A/Contas/"/>
    </mc:Choice>
  </mc:AlternateContent>
  <xr:revisionPtr revIDLastSave="778" documentId="8_{9D37FD81-1450-40B7-B8DD-A26C6A46C76E}" xr6:coauthVersionLast="47" xr6:coauthVersionMax="47" xr10:uidLastSave="{F1B7A4C8-7277-4AD8-84B8-61A697315F08}"/>
  <bookViews>
    <workbookView xWindow="9210" yWindow="1440" windowWidth="30150" windowHeight="16755" xr2:uid="{00000000-000D-0000-FFFF-FFFF00000000}"/>
  </bookViews>
  <sheets>
    <sheet name="Dados" sheetId="1" r:id="rId1"/>
    <sheet name="Dashboard" sheetId="2" r:id="rId2"/>
    <sheet name="Mais Produtos" sheetId="3" r:id="rId3"/>
    <sheet name="AUX" sheetId="4" state="hidden" r:id="rId4"/>
  </sheets>
  <definedNames>
    <definedName name="_xlnm.Print_Area" localSheetId="0">Dados!$A$1:$P$38</definedName>
    <definedName name="_xlnm.Print_Area" localSheetId="1">Dashboard!$A$1:$T$23</definedName>
    <definedName name="_xlnm.Print_Area" localSheetId="2">'Mais Produtos'!$A$1:$T$22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48" i="1" l="1"/>
  <c r="O44" i="1"/>
  <c r="N52" i="1"/>
  <c r="N36" i="1" s="1"/>
  <c r="M52" i="1"/>
  <c r="M36" i="1" s="1"/>
  <c r="L52" i="1"/>
  <c r="L36" i="1" s="1"/>
  <c r="K52" i="1"/>
  <c r="K36" i="1" s="1"/>
  <c r="J52" i="1"/>
  <c r="J36" i="1" s="1"/>
  <c r="I52" i="1"/>
  <c r="I36" i="1" s="1"/>
  <c r="H52" i="1"/>
  <c r="H36" i="1" s="1"/>
  <c r="G52" i="1"/>
  <c r="G36" i="1" s="1"/>
  <c r="F52" i="1"/>
  <c r="F36" i="1" s="1"/>
  <c r="E52" i="1"/>
  <c r="E36" i="1" s="1"/>
  <c r="D52" i="1"/>
  <c r="C52" i="1"/>
  <c r="O51" i="1"/>
  <c r="O50" i="1"/>
  <c r="O49" i="1"/>
  <c r="O47" i="1"/>
  <c r="O46" i="1"/>
  <c r="O45" i="1"/>
  <c r="O43" i="1"/>
  <c r="C36" i="1"/>
  <c r="O21" i="1"/>
  <c r="O20" i="1"/>
  <c r="O22" i="1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11" i="4"/>
  <c r="O31" i="1"/>
  <c r="E20" i="4" s="1"/>
  <c r="G20" i="4" s="1"/>
  <c r="O11" i="1"/>
  <c r="O13" i="1"/>
  <c r="O14" i="1"/>
  <c r="O15" i="1"/>
  <c r="O16" i="1"/>
  <c r="O32" i="1"/>
  <c r="E21" i="4" s="1"/>
  <c r="G21" i="4" s="1"/>
  <c r="O33" i="1"/>
  <c r="E22" i="4" s="1"/>
  <c r="G22" i="4" s="1"/>
  <c r="O34" i="1"/>
  <c r="E23" i="4" s="1"/>
  <c r="G23" i="4" s="1"/>
  <c r="E24" i="4"/>
  <c r="G24" i="4" s="1"/>
  <c r="O35" i="1" l="1"/>
  <c r="E25" i="4" s="1"/>
  <c r="G25" i="4" s="1"/>
  <c r="D36" i="1"/>
  <c r="O52" i="1"/>
  <c r="O12" i="1"/>
  <c r="O10" i="1"/>
  <c r="I17" i="1" l="1"/>
  <c r="I38" i="1" s="1"/>
  <c r="J17" i="1"/>
  <c r="K17" i="1"/>
  <c r="L17" i="1"/>
  <c r="M17" i="1"/>
  <c r="N17" i="1"/>
  <c r="F17" i="1"/>
  <c r="O8" i="1"/>
  <c r="G17" i="1"/>
  <c r="C17" i="1"/>
  <c r="H17" i="1"/>
  <c r="E17" i="1"/>
  <c r="D17" i="1"/>
  <c r="O28" i="1"/>
  <c r="O24" i="1"/>
  <c r="E13" i="4" s="1"/>
  <c r="G13" i="4" s="1"/>
  <c r="O26" i="1"/>
  <c r="E15" i="4" s="1"/>
  <c r="G15" i="4" s="1"/>
  <c r="O27" i="1"/>
  <c r="E16" i="4" s="1"/>
  <c r="G16" i="4" s="1"/>
  <c r="O29" i="1"/>
  <c r="E18" i="4" s="1"/>
  <c r="G18" i="4" s="1"/>
  <c r="O30" i="1"/>
  <c r="E19" i="4" s="1"/>
  <c r="G19" i="4" s="1"/>
  <c r="O9" i="1"/>
  <c r="O6" i="1"/>
  <c r="E17" i="4" l="1"/>
  <c r="G17" i="4" s="1"/>
  <c r="P35" i="1"/>
  <c r="P17" i="1"/>
  <c r="J38" i="1"/>
  <c r="N38" i="1"/>
  <c r="M38" i="1"/>
  <c r="L38" i="1"/>
  <c r="K38" i="1"/>
  <c r="G38" i="1"/>
  <c r="F38" i="1"/>
  <c r="D38" i="1"/>
  <c r="E38" i="1"/>
  <c r="H38" i="1"/>
  <c r="C38" i="1"/>
  <c r="O7" i="1"/>
  <c r="O17" i="1" s="1"/>
  <c r="O25" i="1"/>
  <c r="E14" i="4" s="1"/>
  <c r="G14" i="4" s="1"/>
  <c r="O23" i="1"/>
  <c r="E12" i="4" s="1"/>
  <c r="G12" i="4" s="1"/>
  <c r="E11" i="4"/>
  <c r="G11" i="4" s="1"/>
  <c r="C14" i="4" l="1"/>
  <c r="O36" i="1"/>
  <c r="O38" i="1" s="1"/>
  <c r="C17" i="4"/>
  <c r="C15" i="4"/>
  <c r="C20" i="4"/>
  <c r="C13" i="4"/>
  <c r="C23" i="4"/>
  <c r="C16" i="4"/>
  <c r="C25" i="4"/>
  <c r="C19" i="4"/>
  <c r="C11" i="4"/>
  <c r="C22" i="4"/>
  <c r="C12" i="4"/>
  <c r="C21" i="4"/>
  <c r="C18" i="4"/>
  <c r="C24" i="4"/>
  <c r="P37" i="1"/>
  <c r="K18" i="4" l="1"/>
  <c r="K12" i="4"/>
  <c r="K15" i="4"/>
  <c r="L12" i="4"/>
  <c r="K13" i="4"/>
  <c r="L11" i="4"/>
  <c r="K16" i="4"/>
  <c r="K14" i="4"/>
  <c r="K17" i="4"/>
  <c r="L18" i="4"/>
  <c r="K11" i="4"/>
  <c r="L13" i="4"/>
  <c r="L24" i="4"/>
  <c r="L15" i="4"/>
  <c r="L17" i="4"/>
  <c r="K21" i="4"/>
  <c r="L16" i="4"/>
  <c r="L14" i="4"/>
  <c r="L19" i="4"/>
  <c r="K25" i="4"/>
  <c r="K22" i="4"/>
  <c r="L20" i="4"/>
  <c r="K19" i="4"/>
  <c r="L21" i="4"/>
  <c r="K24" i="4"/>
  <c r="L23" i="4"/>
  <c r="K23" i="4"/>
  <c r="K20" i="4"/>
  <c r="L25" i="4"/>
  <c r="L22" i="4"/>
</calcChain>
</file>

<file path=xl/sharedStrings.xml><?xml version="1.0" encoding="utf-8"?>
<sst xmlns="http://schemas.openxmlformats.org/spreadsheetml/2006/main" count="83" uniqueCount="53">
  <si>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</si>
  <si>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</si>
  <si>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</si>
  <si>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</si>
  <si>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</si>
  <si>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</si>
  <si>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</si>
  <si>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</si>
  <si>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</si>
  <si>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</si>
  <si>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</si>
  <si>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</si>
  <si>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Total</t>
  </si>
  <si>
    <t>Dados</t>
  </si>
  <si>
    <t>Receitas</t>
  </si>
  <si>
    <t>Gastos</t>
  </si>
  <si>
    <t>Salário</t>
  </si>
  <si>
    <t>Alimentação</t>
  </si>
  <si>
    <t>Dashboard Finanças Pessoais</t>
  </si>
  <si>
    <t>13º salário</t>
  </si>
  <si>
    <t>Férias</t>
  </si>
  <si>
    <t>Horas extras</t>
  </si>
  <si>
    <t>IR</t>
  </si>
  <si>
    <t>Outras Receitas</t>
  </si>
  <si>
    <t>Pensão</t>
  </si>
  <si>
    <t>Resgate Investimentos</t>
  </si>
  <si>
    <t>Moradia</t>
  </si>
  <si>
    <t>Transporte</t>
  </si>
  <si>
    <t>Educação</t>
  </si>
  <si>
    <t>Lazer</t>
  </si>
  <si>
    <t>Saúde &amp; Beleza</t>
  </si>
  <si>
    <t>Emprestimo</t>
  </si>
  <si>
    <t>Água</t>
  </si>
  <si>
    <t>Luz</t>
  </si>
  <si>
    <t>NuBank</t>
  </si>
  <si>
    <t>Itau Master</t>
  </si>
  <si>
    <t>Internet</t>
  </si>
  <si>
    <t>Limpa nome</t>
  </si>
  <si>
    <t>Investimentos</t>
  </si>
  <si>
    <t>Netflix</t>
  </si>
  <si>
    <t>Spotfy</t>
  </si>
  <si>
    <t>Prime Video</t>
  </si>
  <si>
    <t>HBO Max</t>
  </si>
  <si>
    <t>YouTube</t>
  </si>
  <si>
    <t>Seguro de vida</t>
  </si>
  <si>
    <t>Crunchyroll</t>
  </si>
  <si>
    <t>Pisicologa</t>
  </si>
  <si>
    <t>Disney Plus/Star plus</t>
  </si>
  <si>
    <t>Parcelamentos</t>
  </si>
  <si>
    <t>PRL</t>
  </si>
  <si>
    <t>Saldo Mensal/Reserva</t>
  </si>
  <si>
    <t>Animais (Itau Visa)</t>
  </si>
  <si>
    <t>ASSINATURAS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</si>
</sst>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[$R$-416]\ * #,##0_-;\-[$R$-416]\ * #,##0_-;_-[$R$-416]\ * &quot;-&quot;??_-;_-@_-"/>
    <numFmt numFmtId="165" formatCode="[$R$-416]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20"/>
      <color theme="1" tint="0.24997711111789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28383C"/>
        <bgColor indexed="64"/>
      </patternFill>
    </fill>
  </fills>
  <borders count="26">
    <border>
      <left/>
      <right/>
      <top/>
      <bottom/>
      <diagonal/>
    </border>
    <border>
      <left style="thin">
        <color theme="0" tint="-0.1499374370555742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 tint="-0.14993743705557422"/>
      </right>
      <top/>
      <bottom style="thin">
        <color theme="0"/>
      </bottom>
      <diagonal/>
    </border>
    <border>
      <left style="thin">
        <color theme="0" tint="-0.1499374370555742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14993743705557422"/>
      </right>
      <top style="thin">
        <color theme="0"/>
      </top>
      <bottom style="thin">
        <color theme="0"/>
      </bottom>
      <diagonal/>
    </border>
    <border>
      <left/>
      <right/>
      <top/>
      <bottom style="thick">
        <color rgb="FF459ADB"/>
      </bottom>
      <diagonal/>
    </border>
    <border>
      <left style="thin">
        <color theme="0" tint="-0.14993743705557422"/>
      </left>
      <right style="thin">
        <color theme="0"/>
      </right>
      <top style="thin">
        <color theme="0" tint="-0.14993743705557422"/>
      </top>
      <bottom style="medium">
        <color rgb="FF01B8AA"/>
      </bottom>
      <diagonal/>
    </border>
    <border>
      <left style="thin">
        <color theme="0"/>
      </left>
      <right style="thin">
        <color theme="0"/>
      </right>
      <top style="thin">
        <color theme="0" tint="-0.14993743705557422"/>
      </top>
      <bottom style="medium">
        <color rgb="FF01B8AA"/>
      </bottom>
      <diagonal/>
    </border>
    <border>
      <left style="thin">
        <color theme="0"/>
      </left>
      <right style="thin">
        <color theme="0" tint="-0.14993743705557422"/>
      </right>
      <top style="thin">
        <color theme="0" tint="-0.14993743705557422"/>
      </top>
      <bottom style="medium">
        <color rgb="FF01B8AA"/>
      </bottom>
      <diagonal/>
    </border>
    <border>
      <left style="thin">
        <color theme="0" tint="-0.14993743705557422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14993743705557422"/>
      </right>
      <top style="thin">
        <color theme="0"/>
      </top>
      <bottom/>
      <diagonal/>
    </border>
    <border>
      <left style="thin">
        <color theme="0" tint="-0.14993743705557422"/>
      </left>
      <right style="thin">
        <color theme="0"/>
      </right>
      <top style="medium">
        <color rgb="FF01B8AA"/>
      </top>
      <bottom style="thin">
        <color theme="0" tint="-0.14993743705557422"/>
      </bottom>
      <diagonal/>
    </border>
    <border>
      <left style="thin">
        <color theme="0"/>
      </left>
      <right style="thin">
        <color theme="0"/>
      </right>
      <top style="medium">
        <color rgb="FF01B8AA"/>
      </top>
      <bottom style="thin">
        <color theme="0" tint="-0.14993743705557422"/>
      </bottom>
      <diagonal/>
    </border>
    <border>
      <left style="thin">
        <color theme="0"/>
      </left>
      <right style="thin">
        <color theme="0" tint="-0.14993743705557422"/>
      </right>
      <top style="medium">
        <color rgb="FF01B8AA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/>
      </right>
      <top style="medium">
        <color rgb="FFFD625E"/>
      </top>
      <bottom style="thin">
        <color theme="0" tint="-0.14993743705557422"/>
      </bottom>
      <diagonal/>
    </border>
    <border>
      <left style="thin">
        <color theme="0"/>
      </left>
      <right style="thin">
        <color theme="0"/>
      </right>
      <top style="medium">
        <color rgb="FFFD625E"/>
      </top>
      <bottom style="thin">
        <color theme="0" tint="-0.14993743705557422"/>
      </bottom>
      <diagonal/>
    </border>
    <border>
      <left style="thin">
        <color theme="0"/>
      </left>
      <right style="thin">
        <color theme="0" tint="-0.14993743705557422"/>
      </right>
      <top style="medium">
        <color rgb="FFFD625E"/>
      </top>
      <bottom style="thin">
        <color theme="0" tint="-0.14993743705557422"/>
      </bottom>
      <diagonal/>
    </border>
    <border>
      <left/>
      <right style="thin">
        <color theme="0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/>
      </left>
      <right style="thin">
        <color theme="0"/>
      </right>
      <top style="thin">
        <color theme="0" tint="-0.1498764000366222"/>
      </top>
      <bottom style="thin">
        <color theme="0" tint="-0.1498764000366222"/>
      </bottom>
      <diagonal/>
    </border>
    <border>
      <left style="thin">
        <color theme="0" tint="-0.14993743705557422"/>
      </left>
      <right style="thin">
        <color theme="0"/>
      </right>
      <top style="thin">
        <color theme="0" tint="-0.14993743705557422"/>
      </top>
      <bottom style="medium">
        <color rgb="FFFD625E"/>
      </bottom>
      <diagonal/>
    </border>
    <border>
      <left style="thin">
        <color theme="0"/>
      </left>
      <right style="thin">
        <color theme="0"/>
      </right>
      <top style="thin">
        <color theme="0" tint="-0.14993743705557422"/>
      </top>
      <bottom style="medium">
        <color rgb="FFFD625E"/>
      </bottom>
      <diagonal/>
    </border>
    <border>
      <left style="thin">
        <color theme="0"/>
      </left>
      <right style="thin">
        <color theme="0" tint="-0.14993743705557422"/>
      </right>
      <top style="thin">
        <color theme="0" tint="-0.14993743705557422"/>
      </top>
      <bottom style="medium">
        <color rgb="FFFD625E"/>
      </bottom>
      <diagonal/>
    </border>
    <border>
      <left style="thin">
        <color theme="0"/>
      </left>
      <right style="thin">
        <color theme="0" tint="-0.14993743705557422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11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center" vertical="center"/>
    </xf>
    <xf numFmtId="165" fontId="6" fillId="3" borderId="15" xfId="1" applyNumberFormat="1" applyFont="1" applyFill="1" applyBorder="1" applyAlignment="1">
      <alignment horizontal="right" vertical="center"/>
    </xf>
    <xf numFmtId="165" fontId="6" fillId="3" borderId="16" xfId="1" applyNumberFormat="1" applyFont="1" applyFill="1" applyBorder="1" applyAlignment="1">
      <alignment horizontal="right" vertical="center"/>
    </xf>
    <xf numFmtId="0" fontId="6" fillId="3" borderId="17" xfId="0" applyFont="1" applyFill="1" applyBorder="1" applyAlignment="1">
      <alignment horizontal="center" vertical="center"/>
    </xf>
    <xf numFmtId="165" fontId="6" fillId="3" borderId="18" xfId="1" applyNumberFormat="1" applyFont="1" applyFill="1" applyBorder="1" applyAlignment="1">
      <alignment horizontal="right" vertical="center"/>
    </xf>
    <xf numFmtId="165" fontId="6" fillId="3" borderId="19" xfId="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left" vertical="center"/>
    </xf>
    <xf numFmtId="0" fontId="6" fillId="3" borderId="20" xfId="0" applyFont="1" applyFill="1" applyBorder="1" applyAlignment="1">
      <alignment horizontal="center" vertical="center"/>
    </xf>
    <xf numFmtId="165" fontId="6" fillId="3" borderId="2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0" fontId="6" fillId="3" borderId="22" xfId="0" applyFont="1" applyFill="1" applyBorder="1" applyAlignment="1">
      <alignment horizontal="center" vertical="center"/>
    </xf>
    <xf numFmtId="165" fontId="6" fillId="3" borderId="23" xfId="0" applyNumberFormat="1" applyFont="1" applyFill="1" applyBorder="1" applyAlignment="1">
      <alignment horizontal="center" vertical="center"/>
    </xf>
    <xf numFmtId="165" fontId="6" fillId="3" borderId="24" xfId="0" applyNumberFormat="1" applyFont="1" applyFill="1" applyBorder="1" applyAlignment="1">
      <alignment horizontal="center" vertical="center"/>
    </xf>
    <xf numFmtId="165" fontId="7" fillId="2" borderId="2" xfId="1" applyNumberFormat="1" applyFont="1" applyFill="1" applyBorder="1" applyAlignment="1">
      <alignment horizontal="right" vertical="center"/>
    </xf>
    <xf numFmtId="165" fontId="6" fillId="2" borderId="3" xfId="1" applyNumberFormat="1" applyFont="1" applyFill="1" applyBorder="1" applyAlignment="1">
      <alignment horizontal="right" vertical="center"/>
    </xf>
    <xf numFmtId="165" fontId="7" fillId="2" borderId="5" xfId="1" applyNumberFormat="1" applyFont="1" applyFill="1" applyBorder="1" applyAlignment="1">
      <alignment horizontal="right" vertical="center"/>
    </xf>
    <xf numFmtId="165" fontId="6" fillId="2" borderId="6" xfId="1" applyNumberFormat="1" applyFont="1" applyFill="1" applyBorder="1" applyAlignment="1">
      <alignment horizontal="right" vertical="center"/>
    </xf>
    <xf numFmtId="165" fontId="7" fillId="2" borderId="12" xfId="1" applyNumberFormat="1" applyFont="1" applyFill="1" applyBorder="1" applyAlignment="1">
      <alignment horizontal="right" vertical="center"/>
    </xf>
    <xf numFmtId="165" fontId="6" fillId="2" borderId="13" xfId="1" applyNumberFormat="1" applyFont="1" applyFill="1" applyBorder="1" applyAlignment="1">
      <alignment horizontal="right" vertical="center"/>
    </xf>
    <xf numFmtId="165" fontId="0" fillId="0" borderId="0" xfId="0" applyNumberFormat="1" applyAlignment="1">
      <alignment horizontal="right" vertical="center"/>
    </xf>
    <xf numFmtId="0" fontId="0" fillId="0" borderId="0" xfId="0" applyAlignment="1">
      <alignment horizontal="center"/>
    </xf>
    <xf numFmtId="3" fontId="0" fillId="0" borderId="0" xfId="0" applyNumberFormat="1"/>
    <xf numFmtId="165" fontId="6" fillId="2" borderId="25" xfId="0" applyNumberFormat="1" applyFont="1" applyFill="1" applyBorder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165" fontId="10" fillId="2" borderId="5" xfId="1" applyNumberFormat="1" applyFont="1" applyFill="1" applyBorder="1" applyAlignment="1">
      <alignment horizontal="right" vertic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BDBD"/>
      <color rgb="FFFD625E"/>
      <color rgb="FF28383C"/>
      <color rgb="FF01B8AA"/>
      <color rgb="FF79BE5D"/>
      <color rgb="FFDB5F5C"/>
      <color rgb="FF395055"/>
      <color rgb="FF000000"/>
      <color rgb="FF459ADB"/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Dados!$B$5</c:f>
              <c:strCache>
                <c:ptCount val="1"/>
                <c:pt idx="0">
                  <c:v>Receitas</c:v>
                </c:pt>
              </c:strCache>
            </c:strRef>
          </c:tx>
          <c:spPr>
            <a:solidFill>
              <a:srgbClr val="01B8AA"/>
            </a:solidFill>
            <a:ln>
              <a:noFill/>
            </a:ln>
            <a:effectLst/>
          </c:spPr>
          <c:invertIfNegative val="0"/>
          <c:cat>
            <c:strRef>
              <c:f>Dados!$C$5:$N$5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Dados!$C$17:$N$17</c:f>
              <c:numCache>
                <c:formatCode>[$R$-416]\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8E-4180-B239-D2B80E2EC076}"/>
            </c:ext>
          </c:extLst>
        </c:ser>
        <c:ser>
          <c:idx val="1"/>
          <c:order val="1"/>
          <c:tx>
            <c:strRef>
              <c:f>Dados!$B$19</c:f>
              <c:strCache>
                <c:ptCount val="1"/>
                <c:pt idx="0">
                  <c:v>Gastos</c:v>
                </c:pt>
              </c:strCache>
            </c:strRef>
          </c:tx>
          <c:spPr>
            <a:solidFill>
              <a:srgbClr val="FD625E"/>
            </a:solidFill>
            <a:ln>
              <a:noFill/>
            </a:ln>
            <a:effectLst/>
          </c:spPr>
          <c:invertIfNegative val="0"/>
          <c:cat>
            <c:strRef>
              <c:f>Dados!$C$5:$N$5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Dados!$C$36:$N$36</c:f>
              <c:numCache>
                <c:formatCode>[$R$-416]\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8E-4180-B239-D2B80E2EC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593201279"/>
        <c:axId val="1593204607"/>
      </c:barChart>
      <c:lineChart>
        <c:grouping val="standard"/>
        <c:varyColors val="0"/>
        <c:ser>
          <c:idx val="2"/>
          <c:order val="2"/>
          <c:tx>
            <c:strRef>
              <c:f>Dados!$B$38</c:f>
              <c:strCache>
                <c:ptCount val="1"/>
                <c:pt idx="0">
                  <c:v>Saldo Mensal/Reserva</c:v>
                </c:pt>
              </c:strCache>
            </c:strRef>
          </c:tx>
          <c:spPr>
            <a:ln w="28575" cap="rnd">
              <a:solidFill>
                <a:srgbClr val="28383C"/>
              </a:solidFill>
              <a:round/>
            </a:ln>
            <a:effectLst/>
          </c:spPr>
          <c:marker>
            <c:symbol val="none"/>
          </c:marker>
          <c:cat>
            <c:strRef>
              <c:f>Dados!$C$5:$N$5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Dados!$C$38:$N$38</c:f>
              <c:numCache>
                <c:formatCode>[$R$-416]\ 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8E-4180-B239-D2B80E2EC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3201279"/>
        <c:axId val="1593204607"/>
      </c:lineChart>
      <c:catAx>
        <c:axId val="159320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3204607"/>
        <c:crosses val="autoZero"/>
        <c:auto val="1"/>
        <c:lblAlgn val="ctr"/>
        <c:lblOffset val="100"/>
        <c:noMultiLvlLbl val="0"/>
      </c:catAx>
      <c:valAx>
        <c:axId val="15932046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prstDash val="dash"/>
              <a:round/>
            </a:ln>
            <a:effectLst/>
          </c:spPr>
        </c:majorGridlines>
        <c:numFmt formatCode="[$R$-416]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59320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5.5621006459775902E-4"/>
          <c:y val="1.507180021676097E-2"/>
          <c:w val="0.3501272246130484"/>
          <c:h val="5.593744372180898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chemeClr val="tx1">
              <a:lumMod val="65000"/>
              <a:lumOff val="35000"/>
            </a:schemeClr>
          </a:solidFill>
          <a:latin typeface="Arial" panose="020B0604020202020204" pitchFamily="34" charset="0"/>
          <a:cs typeface="Arial" panose="020B0604020202020204" pitchFamily="34" charset="0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D62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AUX!$K$11:$K$25</c:f>
              <c:numCache>
                <c:formatCode>General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cat>
          <c:val>
            <c:numRef>
              <c:f>AUX!$L$11:$L$25</c:f>
              <c:numCache>
                <c:formatCode>#,##0</c:formatCode>
                <c:ptCount val="1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88-4044-8168-6A11C8D30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92388840"/>
        <c:axId val="592383592"/>
      </c:barChart>
      <c:catAx>
        <c:axId val="5923888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2383592"/>
        <c:crosses val="autoZero"/>
        <c:auto val="1"/>
        <c:lblAlgn val="ctr"/>
        <c:lblOffset val="100"/>
        <c:noMultiLvlLbl val="0"/>
      </c:catAx>
      <c:valAx>
        <c:axId val="592383592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592388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Dados!A1"/><Relationship Id="rId2" Type="http://schemas.openxmlformats.org/officeDocument/2006/relationships/hyperlink" Target="#Dashboard!A1"/><Relationship Id="rId1" Type="http://schemas.openxmlformats.org/officeDocument/2006/relationships/hyperlink" Target="#'Mais Produtos'!A1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Dashboard!A1"/><Relationship Id="rId2" Type="http://schemas.openxmlformats.org/officeDocument/2006/relationships/hyperlink" Target="#'Mais Produtos'!A1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1.png"/><Relationship Id="rId4" Type="http://schemas.openxmlformats.org/officeDocument/2006/relationships/hyperlink" Target="#Dados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'Mais Produtos'!A1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2" Type="http://schemas.openxmlformats.org/officeDocument/2006/relationships/hyperlink" Target="https://www.dashboarddesign.com.br/planilhas-prontas/planilha-de-performance-de-campanhas-digitais/" TargetMode="External"/><Relationship Id="rId1" Type="http://schemas.openxmlformats.org/officeDocument/2006/relationships/hyperlink" Target="https://www.dashboarddesign.com.br/loja" TargetMode="External"/><Relationship Id="rId6" Type="http://schemas.openxmlformats.org/officeDocument/2006/relationships/hyperlink" Target="https://www.dashboarddesign.com.br/planilhas-prontas/planilha-excel-de-gestao-de-contratos/" TargetMode="External"/><Relationship Id="rId11" Type="http://schemas.openxmlformats.org/officeDocument/2006/relationships/image" Target="../media/image1.png"/><Relationship Id="rId5" Type="http://schemas.openxmlformats.org/officeDocument/2006/relationships/image" Target="../media/image3.png"/><Relationship Id="rId10" Type="http://schemas.openxmlformats.org/officeDocument/2006/relationships/hyperlink" Target="#Dados!A1"/><Relationship Id="rId4" Type="http://schemas.openxmlformats.org/officeDocument/2006/relationships/hyperlink" Target="https://www.dashboarddesign.com.br/planilhas-prontas/planilha-de-controle-financeiro-pessoal/" TargetMode="External"/><Relationship Id="rId9" Type="http://schemas.openxmlformats.org/officeDocument/2006/relationships/hyperlink" Target="#Dashboard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656104</xdr:colOff>
      <xdr:row>0</xdr:row>
      <xdr:rowOff>138113</xdr:rowOff>
    </xdr:from>
    <xdr:to>
      <xdr:col>11</xdr:col>
      <xdr:colOff>716929</xdr:colOff>
      <xdr:row>0</xdr:row>
      <xdr:rowOff>433388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E7D3578-44CE-4BB4-B3F3-88AB79274498}"/>
            </a:ext>
          </a:extLst>
        </xdr:cNvPr>
        <xdr:cNvGrpSpPr/>
      </xdr:nvGrpSpPr>
      <xdr:grpSpPr>
        <a:xfrm>
          <a:off x="6694954" y="138113"/>
          <a:ext cx="3642225" cy="295275"/>
          <a:chOff x="6694954" y="138113"/>
          <a:chExt cx="3642225" cy="295275"/>
        </a:xfrm>
      </xdr:grpSpPr>
      <xdr:sp macro="" textlink="">
        <xdr:nvSpPr>
          <xdr:cNvPr id="8" name="Rectangle: Rounded Corners 2">
            <a:hlinkClick xmlns:r="http://schemas.openxmlformats.org/officeDocument/2006/relationships" r:id="rId1" tooltip="Mais Produtos"/>
            <a:extLst>
              <a:ext uri="{FF2B5EF4-FFF2-40B4-BE49-F238E27FC236}">
                <a16:creationId xmlns:a16="http://schemas.microsoft.com/office/drawing/2014/main" id="{F7A0BF59-CAD7-4B27-8C34-62EE9598F213}"/>
              </a:ext>
            </a:extLst>
          </xdr:cNvPr>
          <xdr:cNvSpPr/>
        </xdr:nvSpPr>
        <xdr:spPr>
          <a:xfrm>
            <a:off x="9257179" y="138113"/>
            <a:ext cx="1080000" cy="295275"/>
          </a:xfrm>
          <a:prstGeom prst="roundRect">
            <a:avLst>
              <a:gd name="adj" fmla="val 23435"/>
            </a:avLst>
          </a:prstGeom>
          <a:solidFill>
            <a:srgbClr val="28383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>
                <a:latin typeface="Arial" panose="020B0604020202020204" pitchFamily="34" charset="0"/>
                <a:cs typeface="Arial" panose="020B0604020202020204" pitchFamily="34" charset="0"/>
              </a:rPr>
              <a:t>Mais Produtos</a:t>
            </a:r>
          </a:p>
        </xdr:txBody>
      </xdr:sp>
      <xdr:sp macro="" textlink="">
        <xdr:nvSpPr>
          <xdr:cNvPr id="9" name="Rectangle: Rounded Corners 2">
            <a:hlinkClick xmlns:r="http://schemas.openxmlformats.org/officeDocument/2006/relationships" r:id="rId2" tooltip="Dashboard"/>
            <a:extLst>
              <a:ext uri="{FF2B5EF4-FFF2-40B4-BE49-F238E27FC236}">
                <a16:creationId xmlns:a16="http://schemas.microsoft.com/office/drawing/2014/main" id="{66B5D2DD-259C-46FC-9E64-CE1D5AEB2190}"/>
              </a:ext>
            </a:extLst>
          </xdr:cNvPr>
          <xdr:cNvSpPr/>
        </xdr:nvSpPr>
        <xdr:spPr>
          <a:xfrm>
            <a:off x="7976067" y="138113"/>
            <a:ext cx="1080000" cy="295275"/>
          </a:xfrm>
          <a:prstGeom prst="roundRect">
            <a:avLst>
              <a:gd name="adj" fmla="val 23435"/>
            </a:avLst>
          </a:prstGeom>
          <a:solidFill>
            <a:srgbClr val="28383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>
                <a:latin typeface="Arial" panose="020B0604020202020204" pitchFamily="34" charset="0"/>
                <a:cs typeface="Arial" panose="020B0604020202020204" pitchFamily="34" charset="0"/>
              </a:rPr>
              <a:t>Dashboard</a:t>
            </a:r>
          </a:p>
        </xdr:txBody>
      </xdr:sp>
      <xdr:sp macro="" textlink="">
        <xdr:nvSpPr>
          <xdr:cNvPr id="10" name="Rectangle: Rounded Corners 2">
            <a:hlinkClick xmlns:r="http://schemas.openxmlformats.org/officeDocument/2006/relationships" r:id="rId3" tooltip="Dados"/>
            <a:extLst>
              <a:ext uri="{FF2B5EF4-FFF2-40B4-BE49-F238E27FC236}">
                <a16:creationId xmlns:a16="http://schemas.microsoft.com/office/drawing/2014/main" id="{C7067624-CF1F-4925-B49C-07EBCBFAC7CB}"/>
              </a:ext>
            </a:extLst>
          </xdr:cNvPr>
          <xdr:cNvSpPr/>
        </xdr:nvSpPr>
        <xdr:spPr>
          <a:xfrm>
            <a:off x="6694954" y="138113"/>
            <a:ext cx="1080000" cy="295275"/>
          </a:xfrm>
          <a:prstGeom prst="roundRect">
            <a:avLst>
              <a:gd name="adj" fmla="val 23435"/>
            </a:avLst>
          </a:prstGeom>
          <a:solidFill>
            <a:srgbClr val="395055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000">
                <a:latin typeface="Arial" panose="020B0604020202020204" pitchFamily="34" charset="0"/>
                <a:cs typeface="Arial" panose="020B0604020202020204" pitchFamily="34" charset="0"/>
              </a:rPr>
              <a:t>Dados</a:t>
            </a:r>
          </a:p>
        </xdr:txBody>
      </xdr:sp>
    </xdr:grpSp>
    <xdr:clientData/>
  </xdr:twoCellAnchor>
  <xdr:twoCellAnchor editAs="absolute">
    <xdr:from>
      <xdr:col>0</xdr:col>
      <xdr:colOff>161925</xdr:colOff>
      <xdr:row>0</xdr:row>
      <xdr:rowOff>114300</xdr:rowOff>
    </xdr:from>
    <xdr:to>
      <xdr:col>2</xdr:col>
      <xdr:colOff>200025</xdr:colOff>
      <xdr:row>0</xdr:row>
      <xdr:rowOff>465187</xdr:rowOff>
    </xdr:to>
    <xdr:pic>
      <xdr:nvPicPr>
        <xdr:cNvPr id="11" name="Imagem 48">
          <a:extLst>
            <a:ext uri="{FF2B5EF4-FFF2-40B4-BE49-F238E27FC236}">
              <a16:creationId xmlns:a16="http://schemas.microsoft.com/office/drawing/2014/main" id="{CC6B76F2-E43F-4E18-8A1E-AFA191B6C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114300"/>
          <a:ext cx="1600200" cy="3508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4</xdr:row>
      <xdr:rowOff>20160</xdr:rowOff>
    </xdr:from>
    <xdr:to>
      <xdr:col>6</xdr:col>
      <xdr:colOff>317626</xdr:colOff>
      <xdr:row>9</xdr:row>
      <xdr:rowOff>152160</xdr:rowOff>
    </xdr:to>
    <xdr:sp macro="" textlink="">
      <xdr:nvSpPr>
        <xdr:cNvPr id="32" name="Retângulo: Cantos Arredondados 31">
          <a:extLst>
            <a:ext uri="{FF2B5EF4-FFF2-40B4-BE49-F238E27FC236}">
              <a16:creationId xmlns:a16="http://schemas.microsoft.com/office/drawing/2014/main" id="{0C10670C-4800-4E2A-85BF-22035CDD4B3B}"/>
            </a:ext>
          </a:extLst>
        </xdr:cNvPr>
        <xdr:cNvSpPr/>
      </xdr:nvSpPr>
      <xdr:spPr>
        <a:xfrm>
          <a:off x="179615" y="1555046"/>
          <a:ext cx="3920797" cy="1656000"/>
        </a:xfrm>
        <a:prstGeom prst="roundRect">
          <a:avLst>
            <a:gd name="adj" fmla="val 6941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</xdr:col>
      <xdr:colOff>0</xdr:colOff>
      <xdr:row>10</xdr:row>
      <xdr:rowOff>46910</xdr:rowOff>
    </xdr:from>
    <xdr:to>
      <xdr:col>12</xdr:col>
      <xdr:colOff>171450</xdr:colOff>
      <xdr:row>22</xdr:row>
      <xdr:rowOff>187901</xdr:rowOff>
    </xdr:to>
    <xdr:sp macro="" textlink="">
      <xdr:nvSpPr>
        <xdr:cNvPr id="37" name="Retângulo: Cantos Arredondados 36">
          <a:extLst>
            <a:ext uri="{FF2B5EF4-FFF2-40B4-BE49-F238E27FC236}">
              <a16:creationId xmlns:a16="http://schemas.microsoft.com/office/drawing/2014/main" id="{8731C44E-641C-4EDF-862C-123F86B60124}"/>
            </a:ext>
          </a:extLst>
        </xdr:cNvPr>
        <xdr:cNvSpPr/>
      </xdr:nvSpPr>
      <xdr:spPr>
        <a:xfrm>
          <a:off x="180975" y="3180635"/>
          <a:ext cx="8067675" cy="4103391"/>
        </a:xfrm>
        <a:prstGeom prst="roundRect">
          <a:avLst>
            <a:gd name="adj" fmla="val 2342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6</xdr:col>
      <xdr:colOff>522227</xdr:colOff>
      <xdr:row>4</xdr:row>
      <xdr:rowOff>20160</xdr:rowOff>
    </xdr:from>
    <xdr:to>
      <xdr:col>12</xdr:col>
      <xdr:colOff>163577</xdr:colOff>
      <xdr:row>9</xdr:row>
      <xdr:rowOff>152160</xdr:rowOff>
    </xdr:to>
    <xdr:sp macro="" textlink="">
      <xdr:nvSpPr>
        <xdr:cNvPr id="38" name="Retângulo: Cantos Arredondados 37">
          <a:extLst>
            <a:ext uri="{FF2B5EF4-FFF2-40B4-BE49-F238E27FC236}">
              <a16:creationId xmlns:a16="http://schemas.microsoft.com/office/drawing/2014/main" id="{01023694-7F5A-4059-8810-0CDA57482199}"/>
            </a:ext>
          </a:extLst>
        </xdr:cNvPr>
        <xdr:cNvSpPr/>
      </xdr:nvSpPr>
      <xdr:spPr>
        <a:xfrm>
          <a:off x="4332227" y="1557767"/>
          <a:ext cx="3968421" cy="1628786"/>
        </a:xfrm>
        <a:prstGeom prst="roundRect">
          <a:avLst>
            <a:gd name="adj" fmla="val 6941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12</xdr:col>
      <xdr:colOff>368178</xdr:colOff>
      <xdr:row>4</xdr:row>
      <xdr:rowOff>9525</xdr:rowOff>
    </xdr:from>
    <xdr:to>
      <xdr:col>19</xdr:col>
      <xdr:colOff>295278</xdr:colOff>
      <xdr:row>9</xdr:row>
      <xdr:rowOff>141525</xdr:rowOff>
    </xdr:to>
    <xdr:sp macro="" textlink="">
      <xdr:nvSpPr>
        <xdr:cNvPr id="39" name="Retângulo: Cantos Arredondados 38">
          <a:extLst>
            <a:ext uri="{FF2B5EF4-FFF2-40B4-BE49-F238E27FC236}">
              <a16:creationId xmlns:a16="http://schemas.microsoft.com/office/drawing/2014/main" id="{A38EA44B-FD8B-4CED-9535-58455D66F1E7}"/>
            </a:ext>
          </a:extLst>
        </xdr:cNvPr>
        <xdr:cNvSpPr/>
      </xdr:nvSpPr>
      <xdr:spPr>
        <a:xfrm>
          <a:off x="8445378" y="1314450"/>
          <a:ext cx="3927600" cy="1656000"/>
        </a:xfrm>
        <a:prstGeom prst="roundRect">
          <a:avLst>
            <a:gd name="adj" fmla="val 6941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</xdr:col>
      <xdr:colOff>155999</xdr:colOff>
      <xdr:row>11</xdr:row>
      <xdr:rowOff>163286</xdr:rowOff>
    </xdr:from>
    <xdr:to>
      <xdr:col>11</xdr:col>
      <xdr:colOff>676275</xdr:colOff>
      <xdr:row>22</xdr:row>
      <xdr:rowOff>181019</xdr:rowOff>
    </xdr:to>
    <xdr:graphicFrame macro="">
      <xdr:nvGraphicFramePr>
        <xdr:cNvPr id="31" name="Gráfico 30">
          <a:extLst>
            <a:ext uri="{FF2B5EF4-FFF2-40B4-BE49-F238E27FC236}">
              <a16:creationId xmlns:a16="http://schemas.microsoft.com/office/drawing/2014/main" id="{E34A596B-5472-418C-8C9B-CEC926ED3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</xdr:colOff>
      <xdr:row>4</xdr:row>
      <xdr:rowOff>3849</xdr:rowOff>
    </xdr:from>
    <xdr:to>
      <xdr:col>4</xdr:col>
      <xdr:colOff>302562</xdr:colOff>
      <xdr:row>6</xdr:row>
      <xdr:rowOff>44824</xdr:rowOff>
    </xdr:to>
    <xdr:sp macro="" textlink="Dados!B5">
      <xdr:nvSpPr>
        <xdr:cNvPr id="4" name="Retângulo 3">
          <a:extLst>
            <a:ext uri="{FF2B5EF4-FFF2-40B4-BE49-F238E27FC236}">
              <a16:creationId xmlns:a16="http://schemas.microsoft.com/office/drawing/2014/main" id="{44F953B0-5961-48F8-9B47-C9EF6760510F}"/>
            </a:ext>
          </a:extLst>
        </xdr:cNvPr>
        <xdr:cNvSpPr/>
      </xdr:nvSpPr>
      <xdr:spPr>
        <a:xfrm>
          <a:off x="179297" y="1393378"/>
          <a:ext cx="2487706" cy="646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90000" rIns="180000" bIns="90000" rtlCol="0" anchor="t"/>
        <a:lstStyle/>
        <a:p>
          <a:pPr algn="l"/>
          <a:fld id="{F4EA73E6-9C11-405B-BC4D-07B3F0964C86}" type="TxLink">
            <a:rPr lang="en-US" sz="1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 algn="l"/>
            <a:t>Receitas</a:t>
          </a:fld>
          <a:endParaRPr lang="pt-BR" sz="1600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522228</xdr:colOff>
      <xdr:row>4</xdr:row>
      <xdr:rowOff>0</xdr:rowOff>
    </xdr:from>
    <xdr:to>
      <xdr:col>10</xdr:col>
      <xdr:colOff>141228</xdr:colOff>
      <xdr:row>6</xdr:row>
      <xdr:rowOff>40975</xdr:rowOff>
    </xdr:to>
    <xdr:sp macro="" textlink="Dados!B19">
      <xdr:nvSpPr>
        <xdr:cNvPr id="59" name="Retângulo 58">
          <a:extLst>
            <a:ext uri="{FF2B5EF4-FFF2-40B4-BE49-F238E27FC236}">
              <a16:creationId xmlns:a16="http://schemas.microsoft.com/office/drawing/2014/main" id="{C4868721-566B-479B-A835-F79B8A282C87}"/>
            </a:ext>
          </a:extLst>
        </xdr:cNvPr>
        <xdr:cNvSpPr/>
      </xdr:nvSpPr>
      <xdr:spPr>
        <a:xfrm>
          <a:off x="4321022" y="1389529"/>
          <a:ext cx="2487706" cy="646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90000" rIns="180000" bIns="90000" rtlCol="0" anchor="t"/>
        <a:lstStyle/>
        <a:p>
          <a:pPr marL="0" indent="0" algn="l"/>
          <a:fld id="{275B9443-AB34-45C9-A433-29DE712CB29A}" type="TxLink">
            <a:rPr lang="en-US" sz="1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Gastos</a:t>
          </a:fld>
          <a:endParaRPr lang="pt-BR" sz="1600" b="0" i="0" u="none" strike="noStrike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368176</xdr:colOff>
      <xdr:row>4</xdr:row>
      <xdr:rowOff>0</xdr:rowOff>
    </xdr:from>
    <xdr:to>
      <xdr:col>15</xdr:col>
      <xdr:colOff>704353</xdr:colOff>
      <xdr:row>6</xdr:row>
      <xdr:rowOff>40975</xdr:rowOff>
    </xdr:to>
    <xdr:sp macro="" textlink="Dados!B38">
      <xdr:nvSpPr>
        <xdr:cNvPr id="60" name="Retângulo 59">
          <a:extLst>
            <a:ext uri="{FF2B5EF4-FFF2-40B4-BE49-F238E27FC236}">
              <a16:creationId xmlns:a16="http://schemas.microsoft.com/office/drawing/2014/main" id="{455FC92B-EC60-41DE-81B6-FCFC2A5F451C}"/>
            </a:ext>
          </a:extLst>
        </xdr:cNvPr>
        <xdr:cNvSpPr/>
      </xdr:nvSpPr>
      <xdr:spPr>
        <a:xfrm>
          <a:off x="8470029" y="1389529"/>
          <a:ext cx="2487706" cy="64609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90000" rIns="180000" bIns="90000" rtlCol="0" anchor="t"/>
        <a:lstStyle/>
        <a:p>
          <a:pPr marL="0" indent="0" algn="l"/>
          <a:fld id="{BB37C61F-5426-409C-9034-CF9475059D87}" type="TxLink">
            <a:rPr lang="en-US" sz="10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Saldo Mensal/Reserva</a:t>
          </a:fld>
          <a:endParaRPr lang="pt-BR" sz="1600" b="0" i="0" u="none" strike="noStrike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0</xdr:colOff>
      <xdr:row>10</xdr:row>
      <xdr:rowOff>46910</xdr:rowOff>
    </xdr:from>
    <xdr:to>
      <xdr:col>4</xdr:col>
      <xdr:colOff>302559</xdr:colOff>
      <xdr:row>12</xdr:row>
      <xdr:rowOff>87886</xdr:rowOff>
    </xdr:to>
    <xdr:sp macro="" textlink="Dados!B42">
      <xdr:nvSpPr>
        <xdr:cNvPr id="61" name="Retângulo 60">
          <a:extLst>
            <a:ext uri="{FF2B5EF4-FFF2-40B4-BE49-F238E27FC236}">
              <a16:creationId xmlns:a16="http://schemas.microsoft.com/office/drawing/2014/main" id="{25CE26E8-2638-4C51-BDE5-14D142280934}"/>
            </a:ext>
          </a:extLst>
        </xdr:cNvPr>
        <xdr:cNvSpPr/>
      </xdr:nvSpPr>
      <xdr:spPr>
        <a:xfrm>
          <a:off x="176893" y="3380660"/>
          <a:ext cx="2493309" cy="6396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90000" rIns="180000" bIns="90000" rtlCol="0" anchor="t"/>
        <a:lstStyle/>
        <a:p>
          <a:pPr marL="0" indent="0" algn="l"/>
          <a:fld id="{D433E3E8-E706-4522-B368-238A52ADD07F}" type="TxLink">
            <a:rPr lang="en-US" sz="1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Gastos</a:t>
          </a:fld>
          <a:endParaRPr lang="pt-BR" sz="1600" b="0" i="0" u="none" strike="noStrike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</xdr:col>
      <xdr:colOff>61247</xdr:colOff>
      <xdr:row>5</xdr:row>
      <xdr:rowOff>150612</xdr:rowOff>
    </xdr:from>
    <xdr:to>
      <xdr:col>6</xdr:col>
      <xdr:colOff>256384</xdr:colOff>
      <xdr:row>8</xdr:row>
      <xdr:rowOff>21709</xdr:rowOff>
    </xdr:to>
    <xdr:sp macro="" textlink="Dados!O17">
      <xdr:nvSpPr>
        <xdr:cNvPr id="24" name="Retângulo 23">
          <a:extLst>
            <a:ext uri="{FF2B5EF4-FFF2-40B4-BE49-F238E27FC236}">
              <a16:creationId xmlns:a16="http://schemas.microsoft.com/office/drawing/2014/main" id="{95AE18D9-87D0-409F-A48C-625D9BB1C790}"/>
            </a:ext>
          </a:extLst>
        </xdr:cNvPr>
        <xdr:cNvSpPr/>
      </xdr:nvSpPr>
      <xdr:spPr>
        <a:xfrm>
          <a:off x="238140" y="1987576"/>
          <a:ext cx="3828244" cy="76916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90000" rIns="180000" bIns="90000" rtlCol="0" anchor="ctr"/>
        <a:lstStyle/>
        <a:p>
          <a:pPr algn="ctr"/>
          <a:fld id="{0EEEF38B-6C47-4AA8-8654-397887CD1C1C}" type="TxLink">
            <a:rPr lang="en-US" sz="3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pPr algn="ctr"/>
            <a:t>R$ 0,00</a:t>
          </a:fld>
          <a:endParaRPr lang="pt-BR" sz="4400" b="0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587114</xdr:colOff>
      <xdr:row>5</xdr:row>
      <xdr:rowOff>151792</xdr:rowOff>
    </xdr:from>
    <xdr:to>
      <xdr:col>12</xdr:col>
      <xdr:colOff>98692</xdr:colOff>
      <xdr:row>8</xdr:row>
      <xdr:rowOff>20528</xdr:rowOff>
    </xdr:to>
    <xdr:sp macro="" textlink="Dados!O36">
      <xdr:nvSpPr>
        <xdr:cNvPr id="25" name="Retângulo 24">
          <a:extLst>
            <a:ext uri="{FF2B5EF4-FFF2-40B4-BE49-F238E27FC236}">
              <a16:creationId xmlns:a16="http://schemas.microsoft.com/office/drawing/2014/main" id="{6F0B0380-F1A2-4108-B807-67CA663699DE}"/>
            </a:ext>
          </a:extLst>
        </xdr:cNvPr>
        <xdr:cNvSpPr/>
      </xdr:nvSpPr>
      <xdr:spPr>
        <a:xfrm>
          <a:off x="4397114" y="1988756"/>
          <a:ext cx="3838649" cy="7668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90000" rIns="180000" bIns="90000" rtlCol="0" anchor="ctr"/>
        <a:lstStyle/>
        <a:p>
          <a:pPr marL="0" indent="0" algn="ctr"/>
          <a:fld id="{5E74647D-230E-430C-B806-55C4C2AB7F0F}" type="TxLink">
            <a:rPr lang="en-US" sz="3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R$ 0,00</a:t>
          </a:fld>
          <a:endParaRPr lang="pt-BR" sz="3200" b="0" i="0" u="none" strike="noStrike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12</xdr:col>
      <xdr:colOff>430261</xdr:colOff>
      <xdr:row>5</xdr:row>
      <xdr:rowOff>151792</xdr:rowOff>
    </xdr:from>
    <xdr:to>
      <xdr:col>19</xdr:col>
      <xdr:colOff>233192</xdr:colOff>
      <xdr:row>8</xdr:row>
      <xdr:rowOff>20528</xdr:rowOff>
    </xdr:to>
    <xdr:sp macro="" textlink="Dados!O38">
      <xdr:nvSpPr>
        <xdr:cNvPr id="26" name="Retângulo 25">
          <a:extLst>
            <a:ext uri="{FF2B5EF4-FFF2-40B4-BE49-F238E27FC236}">
              <a16:creationId xmlns:a16="http://schemas.microsoft.com/office/drawing/2014/main" id="{6A3A8F9C-98E3-43DC-868B-DBAE09795CD3}"/>
            </a:ext>
          </a:extLst>
        </xdr:cNvPr>
        <xdr:cNvSpPr/>
      </xdr:nvSpPr>
      <xdr:spPr>
        <a:xfrm>
          <a:off x="8567332" y="1988756"/>
          <a:ext cx="3830646" cy="7668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90000" rIns="180000" bIns="90000" rtlCol="0" anchor="ctr"/>
        <a:lstStyle/>
        <a:p>
          <a:pPr marL="0" indent="0" algn="ctr"/>
          <a:fld id="{BF9FB482-869F-46EA-96FD-A7C079A45030}" type="TxLink">
            <a:rPr lang="en-US" sz="32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ctr"/>
            <a:t>R$ 0,00</a:t>
          </a:fld>
          <a:endParaRPr lang="pt-BR" sz="3200" b="0" i="0" u="none" strike="noStrike">
            <a:solidFill>
              <a:schemeClr val="tx1">
                <a:lumMod val="65000"/>
                <a:lumOff val="3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590316</xdr:colOff>
      <xdr:row>7</xdr:row>
      <xdr:rowOff>228599</xdr:rowOff>
    </xdr:from>
    <xdr:to>
      <xdr:col>5</xdr:col>
      <xdr:colOff>197399</xdr:colOff>
      <xdr:row>8</xdr:row>
      <xdr:rowOff>138864</xdr:rowOff>
    </xdr:to>
    <xdr:sp macro="" textlink="Dados!P17">
      <xdr:nvSpPr>
        <xdr:cNvPr id="40" name="Retângulo 39">
          <a:extLst>
            <a:ext uri="{FF2B5EF4-FFF2-40B4-BE49-F238E27FC236}">
              <a16:creationId xmlns:a16="http://schemas.microsoft.com/office/drawing/2014/main" id="{D4F917C8-9287-4F0F-8BDD-A067350C3979}"/>
            </a:ext>
          </a:extLst>
        </xdr:cNvPr>
        <xdr:cNvSpPr/>
      </xdr:nvSpPr>
      <xdr:spPr>
        <a:xfrm>
          <a:off x="2238141" y="2447924"/>
          <a:ext cx="1035833" cy="215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fld id="{39105D9E-073C-456C-9893-F5F1378532D4}" type="TxLink">
            <a:rPr lang="en-US" sz="1200" b="0" i="0" u="none" strike="noStrike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 R$ -   </a:t>
          </a:fld>
          <a:endParaRPr lang="pt-BR" sz="1200" b="0" i="0" u="none" strike="noStrike">
            <a:solidFill>
              <a:schemeClr val="bg1">
                <a:lumMod val="6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2</xdr:col>
      <xdr:colOff>82128</xdr:colOff>
      <xdr:row>7</xdr:row>
      <xdr:rowOff>228599</xdr:rowOff>
    </xdr:from>
    <xdr:to>
      <xdr:col>3</xdr:col>
      <xdr:colOff>590316</xdr:colOff>
      <xdr:row>8</xdr:row>
      <xdr:rowOff>138864</xdr:rowOff>
    </xdr:to>
    <xdr:sp macro="" textlink="">
      <xdr:nvSpPr>
        <xdr:cNvPr id="41" name="Retângulo 40">
          <a:extLst>
            <a:ext uri="{FF2B5EF4-FFF2-40B4-BE49-F238E27FC236}">
              <a16:creationId xmlns:a16="http://schemas.microsoft.com/office/drawing/2014/main" id="{013EEA8C-4DB9-4266-99D6-2F24DBCCEB5E}"/>
            </a:ext>
          </a:extLst>
        </xdr:cNvPr>
        <xdr:cNvSpPr/>
      </xdr:nvSpPr>
      <xdr:spPr>
        <a:xfrm>
          <a:off x="1015578" y="2447924"/>
          <a:ext cx="1222563" cy="215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r>
            <a:rPr lang="en-US" sz="1200" b="0" i="0" u="none" strike="noStrike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Média Mensal:</a:t>
          </a:r>
        </a:p>
      </xdr:txBody>
    </xdr:sp>
    <xdr:clientData/>
  </xdr:twoCellAnchor>
  <xdr:twoCellAnchor>
    <xdr:from>
      <xdr:col>9</xdr:col>
      <xdr:colOff>437926</xdr:colOff>
      <xdr:row>7</xdr:row>
      <xdr:rowOff>228599</xdr:rowOff>
    </xdr:from>
    <xdr:to>
      <xdr:col>11</xdr:col>
      <xdr:colOff>42939</xdr:colOff>
      <xdr:row>8</xdr:row>
      <xdr:rowOff>134580</xdr:rowOff>
    </xdr:to>
    <xdr:sp macro="" textlink="Dados!P35">
      <xdr:nvSpPr>
        <xdr:cNvPr id="67" name="Retângulo 66">
          <a:extLst>
            <a:ext uri="{FF2B5EF4-FFF2-40B4-BE49-F238E27FC236}">
              <a16:creationId xmlns:a16="http://schemas.microsoft.com/office/drawing/2014/main" id="{BE576F0D-3A99-4612-93CE-CD2CC23F5A5E}"/>
            </a:ext>
          </a:extLst>
        </xdr:cNvPr>
        <xdr:cNvSpPr/>
      </xdr:nvSpPr>
      <xdr:spPr>
        <a:xfrm>
          <a:off x="6372001" y="2447924"/>
          <a:ext cx="1033763" cy="2107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fld id="{46036EB0-75F1-4C4D-BCD1-267F0BC42E20}" type="TxLink">
            <a:rPr lang="en-US" sz="1200" b="0" i="0" u="none" strike="noStrike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 R$ -   </a:t>
          </a:fld>
          <a:endParaRPr lang="pt-BR" sz="1200" b="0" i="0" u="none" strike="noStrike">
            <a:solidFill>
              <a:schemeClr val="bg1">
                <a:lumMod val="6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642043</xdr:colOff>
      <xdr:row>7</xdr:row>
      <xdr:rowOff>228599</xdr:rowOff>
    </xdr:from>
    <xdr:to>
      <xdr:col>9</xdr:col>
      <xdr:colOff>437926</xdr:colOff>
      <xdr:row>8</xdr:row>
      <xdr:rowOff>134580</xdr:rowOff>
    </xdr:to>
    <xdr:sp macro="" textlink="">
      <xdr:nvSpPr>
        <xdr:cNvPr id="68" name="Retângulo 67">
          <a:extLst>
            <a:ext uri="{FF2B5EF4-FFF2-40B4-BE49-F238E27FC236}">
              <a16:creationId xmlns:a16="http://schemas.microsoft.com/office/drawing/2014/main" id="{4D0E7A99-F445-4306-A84B-79315B72ED74}"/>
            </a:ext>
          </a:extLst>
        </xdr:cNvPr>
        <xdr:cNvSpPr/>
      </xdr:nvSpPr>
      <xdr:spPr>
        <a:xfrm>
          <a:off x="5147368" y="2447924"/>
          <a:ext cx="1224633" cy="2107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r>
            <a:rPr lang="en-US" sz="1200" b="0" i="0" u="none" strike="noStrike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Média Mensal:</a:t>
          </a:r>
        </a:p>
      </xdr:txBody>
    </xdr:sp>
    <xdr:clientData/>
  </xdr:twoCellAnchor>
  <xdr:twoCellAnchor>
    <xdr:from>
      <xdr:col>15</xdr:col>
      <xdr:colOff>285480</xdr:colOff>
      <xdr:row>7</xdr:row>
      <xdr:rowOff>228599</xdr:rowOff>
    </xdr:from>
    <xdr:to>
      <xdr:col>17</xdr:col>
      <xdr:colOff>223498</xdr:colOff>
      <xdr:row>8</xdr:row>
      <xdr:rowOff>138864</xdr:rowOff>
    </xdr:to>
    <xdr:sp macro="" textlink="Dados!P37">
      <xdr:nvSpPr>
        <xdr:cNvPr id="70" name="Retângulo 69">
          <a:extLst>
            <a:ext uri="{FF2B5EF4-FFF2-40B4-BE49-F238E27FC236}">
              <a16:creationId xmlns:a16="http://schemas.microsoft.com/office/drawing/2014/main" id="{2879E9EF-586D-47DE-A168-803AE71E3B08}"/>
            </a:ext>
          </a:extLst>
        </xdr:cNvPr>
        <xdr:cNvSpPr/>
      </xdr:nvSpPr>
      <xdr:spPr>
        <a:xfrm>
          <a:off x="10505805" y="2447924"/>
          <a:ext cx="1033393" cy="215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fld id="{48D1EA36-B76D-447D-80D9-270953FC991E}" type="TxLink">
            <a:rPr lang="en-US" sz="1200" b="0" i="0" u="none" strike="noStrike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pPr marL="0" indent="0" algn="l"/>
            <a:t> R$ -   </a:t>
          </a:fld>
          <a:endParaRPr lang="pt-BR" sz="1200" b="0" i="0" u="none" strike="noStrike">
            <a:solidFill>
              <a:schemeClr val="bg1">
                <a:lumMod val="65000"/>
              </a:schemeClr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  <xdr:twoCellAnchor>
    <xdr:from>
      <xdr:col>13</xdr:col>
      <xdr:colOff>487584</xdr:colOff>
      <xdr:row>7</xdr:row>
      <xdr:rowOff>228599</xdr:rowOff>
    </xdr:from>
    <xdr:to>
      <xdr:col>15</xdr:col>
      <xdr:colOff>285480</xdr:colOff>
      <xdr:row>8</xdr:row>
      <xdr:rowOff>138864</xdr:rowOff>
    </xdr:to>
    <xdr:sp macro="" textlink="">
      <xdr:nvSpPr>
        <xdr:cNvPr id="71" name="Retângulo 70">
          <a:extLst>
            <a:ext uri="{FF2B5EF4-FFF2-40B4-BE49-F238E27FC236}">
              <a16:creationId xmlns:a16="http://schemas.microsoft.com/office/drawing/2014/main" id="{09E33927-4288-4ED2-AAA4-1006AD98C4F0}"/>
            </a:ext>
          </a:extLst>
        </xdr:cNvPr>
        <xdr:cNvSpPr/>
      </xdr:nvSpPr>
      <xdr:spPr>
        <a:xfrm>
          <a:off x="9279159" y="2447924"/>
          <a:ext cx="1226646" cy="215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0" tIns="0" rIns="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r"/>
          <a:r>
            <a:rPr lang="en-US" sz="1200" b="0" i="0" u="none" strike="noStrike">
              <a:solidFill>
                <a:schemeClr val="bg1">
                  <a:lumMod val="6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Média Mensal:</a:t>
          </a:r>
        </a:p>
      </xdr:txBody>
    </xdr:sp>
    <xdr:clientData/>
  </xdr:twoCellAnchor>
  <xdr:twoCellAnchor editAs="absolute">
    <xdr:from>
      <xdr:col>13</xdr:col>
      <xdr:colOff>465604</xdr:colOff>
      <xdr:row>0</xdr:row>
      <xdr:rowOff>138113</xdr:rowOff>
    </xdr:from>
    <xdr:to>
      <xdr:col>15</xdr:col>
      <xdr:colOff>116854</xdr:colOff>
      <xdr:row>0</xdr:row>
      <xdr:rowOff>433388</xdr:rowOff>
    </xdr:to>
    <xdr:sp macro="" textlink="">
      <xdr:nvSpPr>
        <xdr:cNvPr id="79" name="Rectangle: Rounded Corners 2">
          <a:hlinkClick xmlns:r="http://schemas.openxmlformats.org/officeDocument/2006/relationships" r:id="rId2" tooltip="Mais Produtos"/>
          <a:extLst>
            <a:ext uri="{FF2B5EF4-FFF2-40B4-BE49-F238E27FC236}">
              <a16:creationId xmlns:a16="http://schemas.microsoft.com/office/drawing/2014/main" id="{24E8772B-107C-448C-A147-2D91A9A40088}"/>
            </a:ext>
          </a:extLst>
        </xdr:cNvPr>
        <xdr:cNvSpPr/>
      </xdr:nvSpPr>
      <xdr:spPr>
        <a:xfrm>
          <a:off x="9257179" y="138113"/>
          <a:ext cx="1080000" cy="295275"/>
        </a:xfrm>
        <a:prstGeom prst="roundRect">
          <a:avLst>
            <a:gd name="adj" fmla="val 23435"/>
          </a:avLst>
        </a:prstGeom>
        <a:solidFill>
          <a:srgbClr val="28383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" panose="020B0604020202020204" pitchFamily="34" charset="0"/>
              <a:cs typeface="Arial" panose="020B0604020202020204" pitchFamily="34" charset="0"/>
            </a:rPr>
            <a:t>Mais Produtos</a:t>
          </a:r>
        </a:p>
      </xdr:txBody>
    </xdr:sp>
    <xdr:clientData/>
  </xdr:twoCellAnchor>
  <xdr:twoCellAnchor editAs="absolute">
    <xdr:from>
      <xdr:col>11</xdr:col>
      <xdr:colOff>613242</xdr:colOff>
      <xdr:row>0</xdr:row>
      <xdr:rowOff>138113</xdr:rowOff>
    </xdr:from>
    <xdr:to>
      <xdr:col>13</xdr:col>
      <xdr:colOff>264492</xdr:colOff>
      <xdr:row>0</xdr:row>
      <xdr:rowOff>433388</xdr:rowOff>
    </xdr:to>
    <xdr:sp macro="" textlink="">
      <xdr:nvSpPr>
        <xdr:cNvPr id="80" name="Rectangle: Rounded Corners 2">
          <a:hlinkClick xmlns:r="http://schemas.openxmlformats.org/officeDocument/2006/relationships" r:id="rId3" tooltip="Dashboard"/>
          <a:extLst>
            <a:ext uri="{FF2B5EF4-FFF2-40B4-BE49-F238E27FC236}">
              <a16:creationId xmlns:a16="http://schemas.microsoft.com/office/drawing/2014/main" id="{E0971276-A84F-4000-BADD-250EE3A955FE}"/>
            </a:ext>
          </a:extLst>
        </xdr:cNvPr>
        <xdr:cNvSpPr/>
      </xdr:nvSpPr>
      <xdr:spPr>
        <a:xfrm>
          <a:off x="7976067" y="138113"/>
          <a:ext cx="1080000" cy="295275"/>
        </a:xfrm>
        <a:prstGeom prst="roundRect">
          <a:avLst>
            <a:gd name="adj" fmla="val 23435"/>
          </a:avLst>
        </a:prstGeom>
        <a:solidFill>
          <a:srgbClr val="39505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  <xdr:twoCellAnchor editAs="absolute">
    <xdr:from>
      <xdr:col>10</xdr:col>
      <xdr:colOff>46504</xdr:colOff>
      <xdr:row>0</xdr:row>
      <xdr:rowOff>138113</xdr:rowOff>
    </xdr:from>
    <xdr:to>
      <xdr:col>11</xdr:col>
      <xdr:colOff>412129</xdr:colOff>
      <xdr:row>0</xdr:row>
      <xdr:rowOff>433388</xdr:rowOff>
    </xdr:to>
    <xdr:sp macro="" textlink="">
      <xdr:nvSpPr>
        <xdr:cNvPr id="81" name="Rectangle: Rounded Corners 2">
          <a:hlinkClick xmlns:r="http://schemas.openxmlformats.org/officeDocument/2006/relationships" r:id="rId4" tooltip="Dados"/>
          <a:extLst>
            <a:ext uri="{FF2B5EF4-FFF2-40B4-BE49-F238E27FC236}">
              <a16:creationId xmlns:a16="http://schemas.microsoft.com/office/drawing/2014/main" id="{31EC4C7F-B558-4AEE-9552-E542FDE217AE}"/>
            </a:ext>
          </a:extLst>
        </xdr:cNvPr>
        <xdr:cNvSpPr/>
      </xdr:nvSpPr>
      <xdr:spPr>
        <a:xfrm>
          <a:off x="6694954" y="138113"/>
          <a:ext cx="1080000" cy="295275"/>
        </a:xfrm>
        <a:prstGeom prst="roundRect">
          <a:avLst>
            <a:gd name="adj" fmla="val 23435"/>
          </a:avLst>
        </a:prstGeom>
        <a:solidFill>
          <a:srgbClr val="28383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" panose="020B0604020202020204" pitchFamily="34" charset="0"/>
              <a:cs typeface="Arial" panose="020B0604020202020204" pitchFamily="34" charset="0"/>
            </a:rPr>
            <a:t>Dados</a:t>
          </a:r>
        </a:p>
      </xdr:txBody>
    </xdr:sp>
    <xdr:clientData/>
  </xdr:twoCellAnchor>
  <xdr:twoCellAnchor editAs="absolute">
    <xdr:from>
      <xdr:col>0</xdr:col>
      <xdr:colOff>142875</xdr:colOff>
      <xdr:row>0</xdr:row>
      <xdr:rowOff>123825</xdr:rowOff>
    </xdr:from>
    <xdr:to>
      <xdr:col>3</xdr:col>
      <xdr:colOff>95250</xdr:colOff>
      <xdr:row>0</xdr:row>
      <xdr:rowOff>474712</xdr:rowOff>
    </xdr:to>
    <xdr:pic>
      <xdr:nvPicPr>
        <xdr:cNvPr id="82" name="Imagem 48">
          <a:extLst>
            <a:ext uri="{FF2B5EF4-FFF2-40B4-BE49-F238E27FC236}">
              <a16:creationId xmlns:a16="http://schemas.microsoft.com/office/drawing/2014/main" id="{14B8DF01-5C51-44BF-BE3A-4F8CBACE4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23825"/>
          <a:ext cx="1600200" cy="350887"/>
        </a:xfrm>
        <a:prstGeom prst="rect">
          <a:avLst/>
        </a:prstGeom>
      </xdr:spPr>
    </xdr:pic>
    <xdr:clientData/>
  </xdr:twoCellAnchor>
  <xdr:twoCellAnchor>
    <xdr:from>
      <xdr:col>12</xdr:col>
      <xdr:colOff>371475</xdr:colOff>
      <xdr:row>10</xdr:row>
      <xdr:rowOff>46910</xdr:rowOff>
    </xdr:from>
    <xdr:to>
      <xdr:col>19</xdr:col>
      <xdr:colOff>323850</xdr:colOff>
      <xdr:row>22</xdr:row>
      <xdr:rowOff>187901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D02A1CA3-9A3B-4544-B6A9-139F9FB0DCF8}"/>
            </a:ext>
          </a:extLst>
        </xdr:cNvPr>
        <xdr:cNvSpPr/>
      </xdr:nvSpPr>
      <xdr:spPr>
        <a:xfrm>
          <a:off x="8448675" y="3180635"/>
          <a:ext cx="3952875" cy="4103391"/>
        </a:xfrm>
        <a:prstGeom prst="roundRect">
          <a:avLst>
            <a:gd name="adj" fmla="val 3655"/>
          </a:avLst>
        </a:prstGeom>
        <a:solidFill>
          <a:schemeClr val="bg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endParaRPr lang="pt-BR"/>
        </a:p>
      </xdr:txBody>
    </xdr:sp>
    <xdr:clientData/>
  </xdr:twoCellAnchor>
  <xdr:twoCellAnchor>
    <xdr:from>
      <xdr:col>12</xdr:col>
      <xdr:colOff>390525</xdr:colOff>
      <xdr:row>11</xdr:row>
      <xdr:rowOff>200024</xdr:rowOff>
    </xdr:from>
    <xdr:to>
      <xdr:col>19</xdr:col>
      <xdr:colOff>238125</xdr:colOff>
      <xdr:row>22</xdr:row>
      <xdr:rowOff>133349</xdr:rowOff>
    </xdr:to>
    <xdr:graphicFrame macro="">
      <xdr:nvGraphicFramePr>
        <xdr:cNvPr id="28" name="Gráfico 27">
          <a:extLst>
            <a:ext uri="{FF2B5EF4-FFF2-40B4-BE49-F238E27FC236}">
              <a16:creationId xmlns:a16="http://schemas.microsoft.com/office/drawing/2014/main" id="{715933E5-170B-4741-B21E-DACA774BF5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333375</xdr:colOff>
      <xdr:row>10</xdr:row>
      <xdr:rowOff>27860</xdr:rowOff>
    </xdr:from>
    <xdr:to>
      <xdr:col>15</xdr:col>
      <xdr:colOff>674034</xdr:colOff>
      <xdr:row>12</xdr:row>
      <xdr:rowOff>68836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60861BCC-389E-4769-A16E-7AFDED3CF46F}"/>
            </a:ext>
          </a:extLst>
        </xdr:cNvPr>
        <xdr:cNvSpPr/>
      </xdr:nvSpPr>
      <xdr:spPr>
        <a:xfrm>
          <a:off x="8410575" y="3161585"/>
          <a:ext cx="2483784" cy="6505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180000" tIns="90000" rIns="180000" bIns="90000" rtlCol="0" anchor="t"/>
        <a:lstStyle/>
        <a:p>
          <a:pPr marL="0" indent="0" algn="l"/>
          <a:r>
            <a:rPr lang="en-US" sz="1600" b="0" i="0" u="none" strike="noStrike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Gastos por Categoria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667905</xdr:colOff>
      <xdr:row>19</xdr:row>
      <xdr:rowOff>15560</xdr:rowOff>
    </xdr:from>
    <xdr:to>
      <xdr:col>11</xdr:col>
      <xdr:colOff>497945</xdr:colOff>
      <xdr:row>21</xdr:row>
      <xdr:rowOff>26729</xdr:rowOff>
    </xdr:to>
    <xdr:sp macro="" textlink="">
      <xdr:nvSpPr>
        <xdr:cNvPr id="25" name="Retângulo: Cantos Arredondados 24">
          <a:hlinkClick xmlns:r="http://schemas.openxmlformats.org/officeDocument/2006/relationships" r:id="rId1" tooltip="Mais Produtos!!"/>
          <a:extLst>
            <a:ext uri="{FF2B5EF4-FFF2-40B4-BE49-F238E27FC236}">
              <a16:creationId xmlns:a16="http://schemas.microsoft.com/office/drawing/2014/main" id="{17B11B79-D69E-4424-90CB-9D3E7EC55B2E}"/>
            </a:ext>
          </a:extLst>
        </xdr:cNvPr>
        <xdr:cNvSpPr/>
      </xdr:nvSpPr>
      <xdr:spPr>
        <a:xfrm>
          <a:off x="3744480" y="5892485"/>
          <a:ext cx="4116290" cy="620769"/>
        </a:xfrm>
        <a:prstGeom prst="roundRect">
          <a:avLst>
            <a:gd name="adj" fmla="val 39139"/>
          </a:avLst>
        </a:prstGeom>
        <a:solidFill>
          <a:srgbClr val="DB5F5C"/>
        </a:solidFill>
        <a:ln w="1905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 b="0">
              <a:latin typeface="Arial" panose="020B0604020202020204" pitchFamily="34" charset="0"/>
              <a:cs typeface="Arial" panose="020B0604020202020204" pitchFamily="34" charset="0"/>
            </a:rPr>
            <a:t>Mais Produtos</a:t>
          </a:r>
        </a:p>
      </xdr:txBody>
    </xdr:sp>
    <xdr:clientData/>
  </xdr:twoCellAnchor>
  <xdr:twoCellAnchor>
    <xdr:from>
      <xdr:col>2</xdr:col>
      <xdr:colOff>185899</xdr:colOff>
      <xdr:row>2</xdr:row>
      <xdr:rowOff>0</xdr:rowOff>
    </xdr:from>
    <xdr:to>
      <xdr:col>15</xdr:col>
      <xdr:colOff>268615</xdr:colOff>
      <xdr:row>5</xdr:row>
      <xdr:rowOff>244314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5AC44CC2-D598-472C-AF35-DCA716C66FE7}"/>
            </a:ext>
          </a:extLst>
        </xdr:cNvPr>
        <xdr:cNvSpPr/>
      </xdr:nvSpPr>
      <xdr:spPr>
        <a:xfrm>
          <a:off x="1119349" y="695325"/>
          <a:ext cx="9369591" cy="115871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Gostou</a:t>
          </a:r>
          <a:r>
            <a:rPr lang="pt-BR" sz="180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da planilha?</a:t>
          </a:r>
        </a:p>
        <a:p>
          <a:pPr algn="ctr"/>
          <a:r>
            <a:rPr lang="pt-BR" sz="1800" baseline="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Venha conhecer outros produtos da Dashboard Design!</a:t>
          </a:r>
          <a:endParaRPr lang="pt-BR" sz="18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6</xdr:col>
      <xdr:colOff>590550</xdr:colOff>
      <xdr:row>6</xdr:row>
      <xdr:rowOff>47623</xdr:rowOff>
    </xdr:from>
    <xdr:to>
      <xdr:col>10</xdr:col>
      <xdr:colOff>533684</xdr:colOff>
      <xdr:row>15</xdr:row>
      <xdr:rowOff>54823</xdr:rowOff>
    </xdr:to>
    <xdr:pic>
      <xdr:nvPicPr>
        <xdr:cNvPr id="27" name="Picture 2">
          <a:hlinkClick xmlns:r="http://schemas.openxmlformats.org/officeDocument/2006/relationships" r:id="rId2" tooltip="Planilha Excel de Performance de Campanhas Digitais"/>
          <a:extLst>
            <a:ext uri="{FF2B5EF4-FFF2-40B4-BE49-F238E27FC236}">
              <a16:creationId xmlns:a16="http://schemas.microsoft.com/office/drawing/2014/main" id="{32E15B63-3993-4F22-AEE2-4351E46F7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0" y="1962148"/>
          <a:ext cx="2800634" cy="2750400"/>
        </a:xfrm>
        <a:prstGeom prst="rect">
          <a:avLst/>
        </a:prstGeom>
      </xdr:spPr>
    </xdr:pic>
    <xdr:clientData/>
  </xdr:twoCellAnchor>
  <xdr:twoCellAnchor>
    <xdr:from>
      <xdr:col>2</xdr:col>
      <xdr:colOff>285750</xdr:colOff>
      <xdr:row>6</xdr:row>
      <xdr:rowOff>47625</xdr:rowOff>
    </xdr:from>
    <xdr:to>
      <xdr:col>6</xdr:col>
      <xdr:colOff>228600</xdr:colOff>
      <xdr:row>15</xdr:row>
      <xdr:rowOff>54545</xdr:rowOff>
    </xdr:to>
    <xdr:pic>
      <xdr:nvPicPr>
        <xdr:cNvPr id="28" name="Picture 17">
          <a:hlinkClick xmlns:r="http://schemas.openxmlformats.org/officeDocument/2006/relationships" r:id="rId4" tooltip="Planilha Excel de Controle Financeiro Pessoal"/>
          <a:extLst>
            <a:ext uri="{FF2B5EF4-FFF2-40B4-BE49-F238E27FC236}">
              <a16:creationId xmlns:a16="http://schemas.microsoft.com/office/drawing/2014/main" id="{0CC43853-612F-4924-92F6-7AFAE45CD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1962150"/>
          <a:ext cx="2800350" cy="2750120"/>
        </a:xfrm>
        <a:prstGeom prst="rect">
          <a:avLst/>
        </a:prstGeom>
      </xdr:spPr>
    </xdr:pic>
    <xdr:clientData/>
  </xdr:twoCellAnchor>
  <xdr:twoCellAnchor>
    <xdr:from>
      <xdr:col>11</xdr:col>
      <xdr:colOff>219076</xdr:colOff>
      <xdr:row>6</xdr:row>
      <xdr:rowOff>57150</xdr:rowOff>
    </xdr:from>
    <xdr:to>
      <xdr:col>15</xdr:col>
      <xdr:colOff>162211</xdr:colOff>
      <xdr:row>15</xdr:row>
      <xdr:rowOff>64350</xdr:rowOff>
    </xdr:to>
    <xdr:pic>
      <xdr:nvPicPr>
        <xdr:cNvPr id="29" name="Picture 19">
          <a:hlinkClick xmlns:r="http://schemas.openxmlformats.org/officeDocument/2006/relationships" r:id="rId6" tooltip="Planilha Excel de Gestão de Contratos"/>
          <a:extLst>
            <a:ext uri="{FF2B5EF4-FFF2-40B4-BE49-F238E27FC236}">
              <a16:creationId xmlns:a16="http://schemas.microsoft.com/office/drawing/2014/main" id="{1404C812-A2D5-4CB5-8251-979FC3DC8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1901" y="1971675"/>
          <a:ext cx="2800635" cy="2750400"/>
        </a:xfrm>
        <a:prstGeom prst="rect">
          <a:avLst/>
        </a:prstGeom>
      </xdr:spPr>
    </xdr:pic>
    <xdr:clientData/>
  </xdr:twoCellAnchor>
  <xdr:twoCellAnchor>
    <xdr:from>
      <xdr:col>2</xdr:col>
      <xdr:colOff>466726</xdr:colOff>
      <xdr:row>15</xdr:row>
      <xdr:rowOff>28575</xdr:rowOff>
    </xdr:from>
    <xdr:to>
      <xdr:col>5</xdr:col>
      <xdr:colOff>609600</xdr:colOff>
      <xdr:row>16</xdr:row>
      <xdr:rowOff>254433</xdr:rowOff>
    </xdr:to>
    <xdr:sp macro="" textlink="">
      <xdr:nvSpPr>
        <xdr:cNvPr id="30" name="TextBox 2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982193E-806D-418D-A171-C2603BABB56B}"/>
            </a:ext>
          </a:extLst>
        </xdr:cNvPr>
        <xdr:cNvSpPr txBox="1"/>
      </xdr:nvSpPr>
      <xdr:spPr>
        <a:xfrm>
          <a:off x="1400176" y="4686300"/>
          <a:ext cx="2285999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400" b="0">
              <a:solidFill>
                <a:schemeClr val="tx1">
                  <a:lumMod val="65000"/>
                  <a:lumOff val="35000"/>
                </a:schemeClr>
              </a:solidFill>
            </a:rPr>
            <a:t>Planilha Excel de Controle Financeiro Pessoal</a:t>
          </a:r>
        </a:p>
      </xdr:txBody>
    </xdr:sp>
    <xdr:clientData/>
  </xdr:twoCellAnchor>
  <xdr:twoCellAnchor>
    <xdr:from>
      <xdr:col>6</xdr:col>
      <xdr:colOff>552451</xdr:colOff>
      <xdr:row>15</xdr:row>
      <xdr:rowOff>47625</xdr:rowOff>
    </xdr:from>
    <xdr:to>
      <xdr:col>10</xdr:col>
      <xdr:colOff>476251</xdr:colOff>
      <xdr:row>16</xdr:row>
      <xdr:rowOff>273483</xdr:rowOff>
    </xdr:to>
    <xdr:sp macro="" textlink="">
      <xdr:nvSpPr>
        <xdr:cNvPr id="31" name="TextBox 2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BDDAAD9-E9DD-4325-9B33-A374C6C63BBD}"/>
            </a:ext>
          </a:extLst>
        </xdr:cNvPr>
        <xdr:cNvSpPr txBox="1"/>
      </xdr:nvSpPr>
      <xdr:spPr>
        <a:xfrm>
          <a:off x="4343401" y="4705350"/>
          <a:ext cx="278130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400" b="0">
              <a:solidFill>
                <a:schemeClr val="tx1">
                  <a:lumMod val="65000"/>
                  <a:lumOff val="35000"/>
                </a:schemeClr>
              </a:solidFill>
            </a:rPr>
            <a:t>Planilha Excel de Performance de Campanhas Digitais </a:t>
          </a:r>
        </a:p>
      </xdr:txBody>
    </xdr:sp>
    <xdr:clientData/>
  </xdr:twoCellAnchor>
  <xdr:twoCellAnchor>
    <xdr:from>
      <xdr:col>11</xdr:col>
      <xdr:colOff>704850</xdr:colOff>
      <xdr:row>15</xdr:row>
      <xdr:rowOff>47625</xdr:rowOff>
    </xdr:from>
    <xdr:to>
      <xdr:col>14</xdr:col>
      <xdr:colOff>552450</xdr:colOff>
      <xdr:row>16</xdr:row>
      <xdr:rowOff>273483</xdr:rowOff>
    </xdr:to>
    <xdr:sp macro="" textlink="">
      <xdr:nvSpPr>
        <xdr:cNvPr id="32" name="TextBox 22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5D88081-3C9B-4F44-8A80-5F57433B0D41}"/>
            </a:ext>
          </a:extLst>
        </xdr:cNvPr>
        <xdr:cNvSpPr txBox="1"/>
      </xdr:nvSpPr>
      <xdr:spPr>
        <a:xfrm>
          <a:off x="8067675" y="4705350"/>
          <a:ext cx="199072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pt-BR" sz="1400" b="0">
              <a:solidFill>
                <a:schemeClr val="tx1">
                  <a:lumMod val="65000"/>
                  <a:lumOff val="35000"/>
                </a:schemeClr>
              </a:solidFill>
            </a:rPr>
            <a:t>Planilha Excel de Gestão de Contratos</a:t>
          </a:r>
        </a:p>
      </xdr:txBody>
    </xdr:sp>
    <xdr:clientData/>
  </xdr:twoCellAnchor>
  <xdr:twoCellAnchor editAs="absolute">
    <xdr:from>
      <xdr:col>13</xdr:col>
      <xdr:colOff>465604</xdr:colOff>
      <xdr:row>0</xdr:row>
      <xdr:rowOff>138113</xdr:rowOff>
    </xdr:from>
    <xdr:to>
      <xdr:col>15</xdr:col>
      <xdr:colOff>116854</xdr:colOff>
      <xdr:row>0</xdr:row>
      <xdr:rowOff>433388</xdr:rowOff>
    </xdr:to>
    <xdr:sp macro="" textlink="">
      <xdr:nvSpPr>
        <xdr:cNvPr id="35" name="Rectangle: Rounded Corners 2">
          <a:hlinkClick xmlns:r="http://schemas.openxmlformats.org/officeDocument/2006/relationships" r:id="rId8" tooltip="Mais Produtos"/>
          <a:extLst>
            <a:ext uri="{FF2B5EF4-FFF2-40B4-BE49-F238E27FC236}">
              <a16:creationId xmlns:a16="http://schemas.microsoft.com/office/drawing/2014/main" id="{4505BB10-C346-433D-9241-D1CDEA73F3D4}"/>
            </a:ext>
          </a:extLst>
        </xdr:cNvPr>
        <xdr:cNvSpPr/>
      </xdr:nvSpPr>
      <xdr:spPr>
        <a:xfrm>
          <a:off x="9257179" y="138113"/>
          <a:ext cx="1080000" cy="295275"/>
        </a:xfrm>
        <a:prstGeom prst="roundRect">
          <a:avLst>
            <a:gd name="adj" fmla="val 23435"/>
          </a:avLst>
        </a:prstGeom>
        <a:solidFill>
          <a:srgbClr val="39505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" panose="020B0604020202020204" pitchFamily="34" charset="0"/>
              <a:cs typeface="Arial" panose="020B0604020202020204" pitchFamily="34" charset="0"/>
            </a:rPr>
            <a:t>Mais Produtos</a:t>
          </a:r>
        </a:p>
      </xdr:txBody>
    </xdr:sp>
    <xdr:clientData/>
  </xdr:twoCellAnchor>
  <xdr:twoCellAnchor editAs="absolute">
    <xdr:from>
      <xdr:col>11</xdr:col>
      <xdr:colOff>613242</xdr:colOff>
      <xdr:row>0</xdr:row>
      <xdr:rowOff>138113</xdr:rowOff>
    </xdr:from>
    <xdr:to>
      <xdr:col>13</xdr:col>
      <xdr:colOff>264492</xdr:colOff>
      <xdr:row>0</xdr:row>
      <xdr:rowOff>433388</xdr:rowOff>
    </xdr:to>
    <xdr:sp macro="" textlink="">
      <xdr:nvSpPr>
        <xdr:cNvPr id="36" name="Rectangle: Rounded Corners 2">
          <a:hlinkClick xmlns:r="http://schemas.openxmlformats.org/officeDocument/2006/relationships" r:id="rId9" tooltip="Dashboard"/>
          <a:extLst>
            <a:ext uri="{FF2B5EF4-FFF2-40B4-BE49-F238E27FC236}">
              <a16:creationId xmlns:a16="http://schemas.microsoft.com/office/drawing/2014/main" id="{95CFCE78-3FD7-4872-B34D-DBD30094C92C}"/>
            </a:ext>
          </a:extLst>
        </xdr:cNvPr>
        <xdr:cNvSpPr/>
      </xdr:nvSpPr>
      <xdr:spPr>
        <a:xfrm>
          <a:off x="7976067" y="138113"/>
          <a:ext cx="1080000" cy="295275"/>
        </a:xfrm>
        <a:prstGeom prst="roundRect">
          <a:avLst>
            <a:gd name="adj" fmla="val 23435"/>
          </a:avLst>
        </a:prstGeom>
        <a:solidFill>
          <a:srgbClr val="28383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" panose="020B0604020202020204" pitchFamily="34" charset="0"/>
              <a:cs typeface="Arial" panose="020B0604020202020204" pitchFamily="34" charset="0"/>
            </a:rPr>
            <a:t>Dashboard</a:t>
          </a:r>
        </a:p>
      </xdr:txBody>
    </xdr:sp>
    <xdr:clientData/>
  </xdr:twoCellAnchor>
  <xdr:twoCellAnchor editAs="absolute">
    <xdr:from>
      <xdr:col>10</xdr:col>
      <xdr:colOff>46504</xdr:colOff>
      <xdr:row>0</xdr:row>
      <xdr:rowOff>138113</xdr:rowOff>
    </xdr:from>
    <xdr:to>
      <xdr:col>11</xdr:col>
      <xdr:colOff>412129</xdr:colOff>
      <xdr:row>0</xdr:row>
      <xdr:rowOff>433388</xdr:rowOff>
    </xdr:to>
    <xdr:sp macro="" textlink="">
      <xdr:nvSpPr>
        <xdr:cNvPr id="37" name="Rectangle: Rounded Corners 2">
          <a:hlinkClick xmlns:r="http://schemas.openxmlformats.org/officeDocument/2006/relationships" r:id="rId10" tooltip="Dados"/>
          <a:extLst>
            <a:ext uri="{FF2B5EF4-FFF2-40B4-BE49-F238E27FC236}">
              <a16:creationId xmlns:a16="http://schemas.microsoft.com/office/drawing/2014/main" id="{9B3DDE8C-E2E1-4C73-8DD6-687BF062AB27}"/>
            </a:ext>
          </a:extLst>
        </xdr:cNvPr>
        <xdr:cNvSpPr/>
      </xdr:nvSpPr>
      <xdr:spPr>
        <a:xfrm>
          <a:off x="6694954" y="138113"/>
          <a:ext cx="1080000" cy="295275"/>
        </a:xfrm>
        <a:prstGeom prst="roundRect">
          <a:avLst>
            <a:gd name="adj" fmla="val 23435"/>
          </a:avLst>
        </a:prstGeom>
        <a:solidFill>
          <a:srgbClr val="28383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00">
              <a:latin typeface="Arial" panose="020B0604020202020204" pitchFamily="34" charset="0"/>
              <a:cs typeface="Arial" panose="020B0604020202020204" pitchFamily="34" charset="0"/>
            </a:rPr>
            <a:t>Dados</a:t>
          </a:r>
        </a:p>
      </xdr:txBody>
    </xdr:sp>
    <xdr:clientData/>
  </xdr:twoCellAnchor>
  <xdr:twoCellAnchor editAs="absolute">
    <xdr:from>
      <xdr:col>0</xdr:col>
      <xdr:colOff>142875</xdr:colOff>
      <xdr:row>0</xdr:row>
      <xdr:rowOff>123825</xdr:rowOff>
    </xdr:from>
    <xdr:to>
      <xdr:col>3</xdr:col>
      <xdr:colOff>95250</xdr:colOff>
      <xdr:row>0</xdr:row>
      <xdr:rowOff>474712</xdr:rowOff>
    </xdr:to>
    <xdr:pic>
      <xdr:nvPicPr>
        <xdr:cNvPr id="38" name="Imagem 48">
          <a:extLst>
            <a:ext uri="{FF2B5EF4-FFF2-40B4-BE49-F238E27FC236}">
              <a16:creationId xmlns:a16="http://schemas.microsoft.com/office/drawing/2014/main" id="{73F36EAD-AF19-4C8C-9AA8-A60276D33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75" y="123825"/>
          <a:ext cx="1600200" cy="3508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2"/>
  <sheetViews>
    <sheetView showGridLines="0" showRowColHeaders="0" tabSelected="1" zoomScaleNormal="100" workbookViewId="0">
      <pane xSplit="1" topLeftCell="B1" activePane="topRight" state="frozen"/>
      <selection activeCell="A23" sqref="A23"/>
      <selection pane="topRight" activeCell="B42" sqref="B42"/>
    </sheetView>
  </sheetViews>
  <sheetFormatPr defaultColWidth="5.7109375" defaultRowHeight="21" customHeight="1" x14ac:dyDescent="0.25"/>
  <cols>
    <col min="1" max="1" width="2.7109375" style="1" customWidth="1"/>
    <col min="2" max="2" width="20.7109375" style="1" customWidth="1"/>
    <col min="3" max="15" width="13.42578125" style="1" customWidth="1"/>
    <col min="16" max="16" width="2.7109375" style="4" customWidth="1"/>
    <col min="17" max="16384" width="5.7109375" style="1"/>
  </cols>
  <sheetData>
    <row r="1" spans="2:16" s="5" customFormat="1" ht="45" customHeight="1" thickBot="1" x14ac:dyDescent="0.3"/>
    <row r="2" spans="2:16" ht="21" customHeight="1" thickTop="1" x14ac:dyDescent="0.25"/>
    <row r="3" spans="2:16" ht="21" customHeight="1" x14ac:dyDescent="0.25">
      <c r="B3" s="2" t="s">
        <v>13</v>
      </c>
    </row>
    <row r="5" spans="2:16" ht="21" customHeight="1" thickBot="1" x14ac:dyDescent="0.3">
      <c r="B5" s="9" t="s">
        <v>14</v>
      </c>
      <c r="C5" s="10" t="s">
        <v>0</v>
      </c>
      <c r="D5" s="10" t="s">
        <v>1</v>
      </c>
      <c r="E5" s="10" t="s">
        <v>2</v>
      </c>
      <c r="F5" s="10" t="s">
        <v>3</v>
      </c>
      <c r="G5" s="10" t="s">
        <v>4</v>
      </c>
      <c r="H5" s="10" t="s">
        <v>5</v>
      </c>
      <c r="I5" s="10" t="s">
        <v>6</v>
      </c>
      <c r="J5" s="10" t="s">
        <v>7</v>
      </c>
      <c r="K5" s="10" t="s">
        <v>8</v>
      </c>
      <c r="L5" s="10" t="s">
        <v>9</v>
      </c>
      <c r="M5" s="10" t="s">
        <v>10</v>
      </c>
      <c r="N5" s="10" t="s">
        <v>11</v>
      </c>
      <c r="O5" s="11" t="s">
        <v>12</v>
      </c>
    </row>
    <row r="6" spans="2:16" ht="21" customHeight="1" x14ac:dyDescent="0.25">
      <c r="B6" s="12" t="s">
        <v>16</v>
      </c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1">
        <f>SUM(C6:N6)</f>
        <v>0</v>
      </c>
    </row>
    <row r="7" spans="2:16" ht="21" customHeight="1" x14ac:dyDescent="0.25">
      <c r="B7" s="13" t="s">
        <v>19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3">
        <f t="shared" ref="O7:O16" si="0">SUM(C7:N7)</f>
        <v>0</v>
      </c>
    </row>
    <row r="8" spans="2:16" ht="21" customHeight="1" x14ac:dyDescent="0.25">
      <c r="B8" s="13" t="s">
        <v>49</v>
      </c>
      <c r="C8" s="32"/>
      <c r="D8" s="32"/>
      <c r="E8" s="30"/>
      <c r="F8" s="32"/>
      <c r="G8" s="32"/>
      <c r="H8" s="32"/>
      <c r="I8" s="32"/>
      <c r="J8" s="32"/>
      <c r="K8" s="32"/>
      <c r="L8" s="32"/>
      <c r="M8" s="32"/>
      <c r="N8" s="32"/>
      <c r="O8" s="33">
        <f t="shared" si="0"/>
        <v>0</v>
      </c>
      <c r="P8" s="21"/>
    </row>
    <row r="9" spans="2:16" ht="21" customHeight="1" x14ac:dyDescent="0.25">
      <c r="B9" s="13" t="s">
        <v>20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>
        <f t="shared" si="0"/>
        <v>0</v>
      </c>
    </row>
    <row r="10" spans="2:16" ht="21" customHeight="1" x14ac:dyDescent="0.25">
      <c r="B10" s="13" t="s">
        <v>21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3">
        <f t="shared" si="0"/>
        <v>0</v>
      </c>
    </row>
    <row r="11" spans="2:16" ht="21" customHeight="1" x14ac:dyDescent="0.25">
      <c r="B11" s="13" t="s">
        <v>22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3">
        <f t="shared" si="0"/>
        <v>0</v>
      </c>
    </row>
    <row r="12" spans="2:16" ht="21" customHeight="1" x14ac:dyDescent="0.25">
      <c r="B12" s="13" t="s">
        <v>23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3">
        <f t="shared" si="0"/>
        <v>0</v>
      </c>
    </row>
    <row r="13" spans="2:16" ht="21" customHeight="1" x14ac:dyDescent="0.25">
      <c r="B13" s="13" t="s">
        <v>24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3">
        <f t="shared" si="0"/>
        <v>0</v>
      </c>
    </row>
    <row r="14" spans="2:16" ht="21" customHeight="1" x14ac:dyDescent="0.25">
      <c r="B14" s="13" t="s">
        <v>25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>
        <f t="shared" si="0"/>
        <v>0</v>
      </c>
    </row>
    <row r="15" spans="2:16" ht="21" customHeight="1" x14ac:dyDescent="0.25">
      <c r="B15" s="13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3">
        <f t="shared" si="0"/>
        <v>0</v>
      </c>
    </row>
    <row r="16" spans="2:16" ht="21" customHeight="1" thickBot="1" x14ac:dyDescent="0.3">
      <c r="B16" s="1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5">
        <f t="shared" si="0"/>
        <v>0</v>
      </c>
    </row>
    <row r="17" spans="2:16" ht="21" customHeight="1" x14ac:dyDescent="0.25">
      <c r="B17" s="15" t="s">
        <v>12</v>
      </c>
      <c r="C17" s="16">
        <f>SUM(C6:C16)</f>
        <v>0</v>
      </c>
      <c r="D17" s="16">
        <f t="shared" ref="D17:O17" si="1">SUM(D6:D16)</f>
        <v>0</v>
      </c>
      <c r="E17" s="16">
        <f t="shared" si="1"/>
        <v>0</v>
      </c>
      <c r="F17" s="16">
        <f t="shared" si="1"/>
        <v>0</v>
      </c>
      <c r="G17" s="16">
        <f t="shared" si="1"/>
        <v>0</v>
      </c>
      <c r="H17" s="16">
        <f t="shared" si="1"/>
        <v>0</v>
      </c>
      <c r="I17" s="16">
        <f t="shared" si="1"/>
        <v>0</v>
      </c>
      <c r="J17" s="16">
        <f t="shared" si="1"/>
        <v>0</v>
      </c>
      <c r="K17" s="16">
        <f t="shared" si="1"/>
        <v>0</v>
      </c>
      <c r="L17" s="16">
        <f t="shared" si="1"/>
        <v>0</v>
      </c>
      <c r="M17" s="16">
        <f t="shared" si="1"/>
        <v>0</v>
      </c>
      <c r="N17" s="16">
        <f t="shared" si="1"/>
        <v>0</v>
      </c>
      <c r="O17" s="17">
        <f t="shared" si="1"/>
        <v>0</v>
      </c>
      <c r="P17" s="23">
        <f>AVERAGE(C17:N17)</f>
        <v>0</v>
      </c>
    </row>
    <row r="18" spans="2:16" ht="21" customHeight="1" x14ac:dyDescent="0.25"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</row>
    <row r="19" spans="2:16" ht="21" customHeight="1" thickBot="1" x14ac:dyDescent="0.3">
      <c r="B19" s="27" t="s">
        <v>15</v>
      </c>
      <c r="C19" s="28" t="s">
        <v>0</v>
      </c>
      <c r="D19" s="28" t="s">
        <v>1</v>
      </c>
      <c r="E19" s="28" t="s">
        <v>2</v>
      </c>
      <c r="F19" s="28" t="s">
        <v>3</v>
      </c>
      <c r="G19" s="28" t="s">
        <v>4</v>
      </c>
      <c r="H19" s="28" t="s">
        <v>5</v>
      </c>
      <c r="I19" s="28" t="s">
        <v>6</v>
      </c>
      <c r="J19" s="28" t="s">
        <v>7</v>
      </c>
      <c r="K19" s="28" t="s">
        <v>8</v>
      </c>
      <c r="L19" s="28" t="s">
        <v>9</v>
      </c>
      <c r="M19" s="28" t="s">
        <v>10</v>
      </c>
      <c r="N19" s="28" t="s">
        <v>11</v>
      </c>
      <c r="O19" s="29" t="s">
        <v>12</v>
      </c>
      <c r="P19" s="22"/>
    </row>
    <row r="20" spans="2:16" ht="21" customHeight="1" x14ac:dyDescent="0.25">
      <c r="B20" s="12" t="s">
        <v>32</v>
      </c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9">
        <f>SUM(C20:N20)</f>
        <v>0</v>
      </c>
      <c r="P20" s="1"/>
    </row>
    <row r="21" spans="2:16" ht="21" customHeight="1" x14ac:dyDescent="0.25">
      <c r="B21" s="12" t="s">
        <v>33</v>
      </c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1">
        <f>SUM(C21:N21)</f>
        <v>0</v>
      </c>
      <c r="P21" s="1"/>
    </row>
    <row r="22" spans="2:16" ht="21" customHeight="1" x14ac:dyDescent="0.25">
      <c r="B22" s="12" t="s">
        <v>26</v>
      </c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1">
        <f>SUM(C22:N22)</f>
        <v>0</v>
      </c>
      <c r="P22" s="1"/>
    </row>
    <row r="23" spans="2:16" ht="21" customHeight="1" x14ac:dyDescent="0.25">
      <c r="B23" s="13" t="s">
        <v>17</v>
      </c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3">
        <f t="shared" ref="O23:O35" si="2">SUM(C23:N23)</f>
        <v>0</v>
      </c>
      <c r="P23" s="1"/>
    </row>
    <row r="24" spans="2:16" ht="21" customHeight="1" x14ac:dyDescent="0.25">
      <c r="B24" s="13" t="s">
        <v>27</v>
      </c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>
        <f t="shared" si="2"/>
        <v>0</v>
      </c>
      <c r="P24" s="1"/>
    </row>
    <row r="25" spans="2:16" ht="21" customHeight="1" x14ac:dyDescent="0.25">
      <c r="B25" s="13" t="s">
        <v>28</v>
      </c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3">
        <f t="shared" si="2"/>
        <v>0</v>
      </c>
      <c r="P25" s="1"/>
    </row>
    <row r="26" spans="2:16" ht="21" customHeight="1" x14ac:dyDescent="0.25">
      <c r="B26" s="13" t="s">
        <v>29</v>
      </c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3">
        <f t="shared" si="2"/>
        <v>0</v>
      </c>
      <c r="P26" s="1"/>
    </row>
    <row r="27" spans="2:16" ht="21" customHeight="1" x14ac:dyDescent="0.25">
      <c r="B27" s="13" t="s">
        <v>30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3">
        <f t="shared" si="2"/>
        <v>0</v>
      </c>
      <c r="P27" s="1"/>
    </row>
    <row r="28" spans="2:16" ht="21" customHeight="1" x14ac:dyDescent="0.25">
      <c r="B28" s="13" t="s">
        <v>38</v>
      </c>
      <c r="C28" s="32"/>
      <c r="D28" s="32"/>
      <c r="E28" s="32"/>
      <c r="F28" s="32"/>
      <c r="G28" s="32"/>
      <c r="H28" s="32"/>
      <c r="I28" s="41"/>
      <c r="J28" s="32"/>
      <c r="K28" s="32"/>
      <c r="L28" s="32"/>
      <c r="M28" s="32"/>
      <c r="N28" s="32"/>
      <c r="O28" s="33">
        <f t="shared" si="2"/>
        <v>0</v>
      </c>
      <c r="P28" s="1"/>
    </row>
    <row r="29" spans="2:16" ht="21" customHeight="1" x14ac:dyDescent="0.25">
      <c r="B29" s="13" t="s">
        <v>46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3">
        <f t="shared" si="2"/>
        <v>0</v>
      </c>
      <c r="P29" s="1"/>
    </row>
    <row r="30" spans="2:16" ht="21" customHeight="1" x14ac:dyDescent="0.25">
      <c r="B30" s="13" t="s">
        <v>36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3">
        <f t="shared" si="2"/>
        <v>0</v>
      </c>
      <c r="P30" s="1"/>
    </row>
    <row r="31" spans="2:16" ht="21" customHeight="1" x14ac:dyDescent="0.25">
      <c r="B31" s="13" t="s">
        <v>51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>
        <f t="shared" si="2"/>
        <v>0</v>
      </c>
      <c r="P31" s="1"/>
    </row>
    <row r="32" spans="2:16" ht="21" customHeight="1" x14ac:dyDescent="0.25">
      <c r="B32" s="13" t="s">
        <v>37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3">
        <f t="shared" si="2"/>
        <v>0</v>
      </c>
      <c r="P32" s="1"/>
    </row>
    <row r="33" spans="2:16" ht="21" customHeight="1" x14ac:dyDescent="0.25">
      <c r="B33" s="13" t="s">
        <v>31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3">
        <f t="shared" si="2"/>
        <v>0</v>
      </c>
      <c r="P33" s="1"/>
    </row>
    <row r="34" spans="2:16" ht="21" customHeight="1" x14ac:dyDescent="0.25">
      <c r="B34" s="13" t="s">
        <v>35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3">
        <f t="shared" si="2"/>
        <v>0</v>
      </c>
      <c r="P34" s="1"/>
    </row>
    <row r="35" spans="2:16" ht="21" customHeight="1" thickBot="1" x14ac:dyDescent="0.3">
      <c r="B35" s="14" t="s">
        <v>34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5">
        <f t="shared" si="2"/>
        <v>0</v>
      </c>
      <c r="P35" s="23">
        <f>AVERAGE(C36:N36)</f>
        <v>0</v>
      </c>
    </row>
    <row r="36" spans="2:16" ht="21" customHeight="1" x14ac:dyDescent="0.25">
      <c r="B36" s="18" t="s">
        <v>12</v>
      </c>
      <c r="C36" s="19">
        <f>SUM(C20:C35)</f>
        <v>0</v>
      </c>
      <c r="D36" s="19">
        <f t="shared" ref="D36:O36" si="3">SUM(D20:D35)</f>
        <v>0</v>
      </c>
      <c r="E36" s="19">
        <f t="shared" si="3"/>
        <v>0</v>
      </c>
      <c r="F36" s="19">
        <f t="shared" si="3"/>
        <v>0</v>
      </c>
      <c r="G36" s="19">
        <f t="shared" si="3"/>
        <v>0</v>
      </c>
      <c r="H36" s="19">
        <f t="shared" si="3"/>
        <v>0</v>
      </c>
      <c r="I36" s="19">
        <f t="shared" si="3"/>
        <v>0</v>
      </c>
      <c r="J36" s="19">
        <f t="shared" si="3"/>
        <v>0</v>
      </c>
      <c r="K36" s="19">
        <f t="shared" si="3"/>
        <v>0</v>
      </c>
      <c r="L36" s="19">
        <f t="shared" si="3"/>
        <v>0</v>
      </c>
      <c r="M36" s="19">
        <f t="shared" si="3"/>
        <v>0</v>
      </c>
      <c r="N36" s="19">
        <f t="shared" si="3"/>
        <v>0</v>
      </c>
      <c r="O36" s="20">
        <f t="shared" si="3"/>
        <v>0</v>
      </c>
    </row>
    <row r="37" spans="2:16" ht="21" customHeight="1" x14ac:dyDescent="0.25"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23">
        <f>AVERAGE(C38:N38)</f>
        <v>0</v>
      </c>
    </row>
    <row r="38" spans="2:16" ht="21" customHeight="1" x14ac:dyDescent="0.25">
      <c r="B38" s="24" t="s">
        <v>50</v>
      </c>
      <c r="C38" s="25">
        <f t="shared" ref="C38:O38" si="4">C17-C36</f>
        <v>0</v>
      </c>
      <c r="D38" s="25">
        <f t="shared" si="4"/>
        <v>0</v>
      </c>
      <c r="E38" s="25">
        <f t="shared" si="4"/>
        <v>0</v>
      </c>
      <c r="F38" s="25">
        <f t="shared" si="4"/>
        <v>0</v>
      </c>
      <c r="G38" s="25">
        <f t="shared" si="4"/>
        <v>0</v>
      </c>
      <c r="H38" s="25">
        <f t="shared" si="4"/>
        <v>0</v>
      </c>
      <c r="I38" s="25">
        <f t="shared" si="4"/>
        <v>0</v>
      </c>
      <c r="J38" s="25">
        <f t="shared" si="4"/>
        <v>0</v>
      </c>
      <c r="K38" s="25">
        <f t="shared" si="4"/>
        <v>0</v>
      </c>
      <c r="L38" s="25">
        <f t="shared" si="4"/>
        <v>0</v>
      </c>
      <c r="M38" s="25">
        <f t="shared" si="4"/>
        <v>0</v>
      </c>
      <c r="N38" s="25">
        <f t="shared" si="4"/>
        <v>0</v>
      </c>
      <c r="O38" s="25">
        <f t="shared" si="4"/>
        <v>0</v>
      </c>
    </row>
    <row r="39" spans="2:16" ht="21" customHeight="1" x14ac:dyDescent="0.25"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2:16" ht="21" customHeight="1" x14ac:dyDescent="0.25"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</row>
    <row r="41" spans="2:16" ht="21" customHeight="1" x14ac:dyDescent="0.25">
      <c r="B41" s="1" t="s">
        <v>52</v>
      </c>
    </row>
    <row r="42" spans="2:16" ht="21" customHeight="1" thickBot="1" x14ac:dyDescent="0.3">
      <c r="B42" s="27" t="s">
        <v>15</v>
      </c>
      <c r="C42" s="28" t="s">
        <v>0</v>
      </c>
      <c r="D42" s="28" t="s">
        <v>1</v>
      </c>
      <c r="E42" s="28" t="s">
        <v>2</v>
      </c>
      <c r="F42" s="28" t="s">
        <v>3</v>
      </c>
      <c r="G42" s="28" t="s">
        <v>4</v>
      </c>
      <c r="H42" s="28" t="s">
        <v>5</v>
      </c>
      <c r="I42" s="28" t="s">
        <v>6</v>
      </c>
      <c r="J42" s="28" t="s">
        <v>7</v>
      </c>
      <c r="K42" s="28" t="s">
        <v>8</v>
      </c>
      <c r="L42" s="28" t="s">
        <v>9</v>
      </c>
      <c r="M42" s="28" t="s">
        <v>10</v>
      </c>
      <c r="N42" s="28" t="s">
        <v>11</v>
      </c>
      <c r="O42" s="29" t="s">
        <v>12</v>
      </c>
    </row>
    <row r="43" spans="2:16" ht="21" customHeight="1" x14ac:dyDescent="0.25">
      <c r="B43" s="12" t="s">
        <v>39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9">
        <f t="shared" ref="O43:O51" si="5">SUM(C43:N43)</f>
        <v>0</v>
      </c>
    </row>
    <row r="44" spans="2:16" ht="21" customHeight="1" x14ac:dyDescent="0.25">
      <c r="B44" s="12" t="s">
        <v>45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1">
        <f t="shared" si="5"/>
        <v>0</v>
      </c>
    </row>
    <row r="45" spans="2:16" ht="21" customHeight="1" x14ac:dyDescent="0.25">
      <c r="B45" s="12" t="s">
        <v>40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1">
        <f t="shared" si="5"/>
        <v>0</v>
      </c>
    </row>
    <row r="46" spans="2:16" ht="21" customHeight="1" x14ac:dyDescent="0.25">
      <c r="B46" s="12" t="s">
        <v>41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1">
        <f t="shared" si="5"/>
        <v>0</v>
      </c>
    </row>
    <row r="47" spans="2:16" ht="21" customHeight="1" x14ac:dyDescent="0.25">
      <c r="B47" s="13" t="s">
        <v>42</v>
      </c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3">
        <f t="shared" si="5"/>
        <v>0</v>
      </c>
    </row>
    <row r="48" spans="2:16" ht="21" customHeight="1" x14ac:dyDescent="0.25">
      <c r="B48" s="13" t="s">
        <v>48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3">
        <f t="shared" si="5"/>
        <v>0</v>
      </c>
    </row>
    <row r="49" spans="2:15" ht="21" customHeight="1" x14ac:dyDescent="0.25">
      <c r="B49" s="13" t="s">
        <v>47</v>
      </c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3">
        <f t="shared" si="5"/>
        <v>0</v>
      </c>
    </row>
    <row r="50" spans="2:15" ht="21" customHeight="1" x14ac:dyDescent="0.25">
      <c r="B50" s="13" t="s">
        <v>43</v>
      </c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3">
        <f t="shared" si="5"/>
        <v>0</v>
      </c>
    </row>
    <row r="51" spans="2:15" ht="21" customHeight="1" thickBot="1" x14ac:dyDescent="0.3">
      <c r="B51" s="13" t="s">
        <v>44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3">
        <f t="shared" si="5"/>
        <v>0</v>
      </c>
    </row>
    <row r="52" spans="2:15" ht="21" customHeight="1" x14ac:dyDescent="0.25">
      <c r="B52" s="18" t="s">
        <v>12</v>
      </c>
      <c r="C52" s="19">
        <f t="shared" ref="C52:O52" si="6">SUM(C43:C51)</f>
        <v>0</v>
      </c>
      <c r="D52" s="19">
        <f t="shared" si="6"/>
        <v>0</v>
      </c>
      <c r="E52" s="19">
        <f t="shared" si="6"/>
        <v>0</v>
      </c>
      <c r="F52" s="19">
        <f t="shared" si="6"/>
        <v>0</v>
      </c>
      <c r="G52" s="19">
        <f t="shared" si="6"/>
        <v>0</v>
      </c>
      <c r="H52" s="19">
        <f t="shared" si="6"/>
        <v>0</v>
      </c>
      <c r="I52" s="19">
        <f t="shared" si="6"/>
        <v>0</v>
      </c>
      <c r="J52" s="19">
        <f t="shared" si="6"/>
        <v>0</v>
      </c>
      <c r="K52" s="19">
        <f t="shared" si="6"/>
        <v>0</v>
      </c>
      <c r="L52" s="19">
        <f t="shared" si="6"/>
        <v>0</v>
      </c>
      <c r="M52" s="19">
        <f t="shared" si="6"/>
        <v>0</v>
      </c>
      <c r="N52" s="19">
        <f t="shared" si="6"/>
        <v>0</v>
      </c>
      <c r="O52" s="20">
        <f t="shared" si="6"/>
        <v>0</v>
      </c>
    </row>
  </sheetData>
  <phoneticPr fontId="3" type="noConversion"/>
  <pageMargins left="0.25" right="0.25" top="0.75" bottom="0.75" header="0.3" footer="0.3"/>
  <pageSetup paperSize="9" scale="82" orientation="landscape" r:id="rId1"/>
  <rowBreaks count="1" manualBreakCount="1">
    <brk id="18" max="1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119E3-A1BB-4183-B625-5CF0412C20FC}">
  <dimension ref="A1:AX52"/>
  <sheetViews>
    <sheetView showGridLines="0" showRowColHeaders="0" zoomScaleNormal="100" workbookViewId="0"/>
  </sheetViews>
  <sheetFormatPr defaultColWidth="0" defaultRowHeight="24" customHeight="1" zeroHeight="1" x14ac:dyDescent="0.25"/>
  <cols>
    <col min="1" max="1" width="2.7109375" style="1" customWidth="1"/>
    <col min="2" max="2" width="11.28515625" style="1" bestFit="1" customWidth="1"/>
    <col min="3" max="16" width="10.7109375" style="1" customWidth="1"/>
    <col min="17" max="50" width="5.7109375" style="1" customWidth="1"/>
    <col min="51" max="16384" width="5.7109375" style="1" hidden="1"/>
  </cols>
  <sheetData>
    <row r="1" spans="2:16" s="5" customFormat="1" ht="45" customHeight="1" thickBot="1" x14ac:dyDescent="0.3">
      <c r="P1" s="6"/>
    </row>
    <row r="2" spans="2:16" s="7" customFormat="1" ht="21" customHeight="1" thickTop="1" x14ac:dyDescent="0.25"/>
    <row r="3" spans="2:16" s="7" customFormat="1" ht="27" customHeight="1" x14ac:dyDescent="0.25">
      <c r="B3" s="26" t="s">
        <v>18</v>
      </c>
    </row>
    <row r="4" spans="2:16" s="7" customFormat="1" ht="9.9499999999999993" customHeight="1" x14ac:dyDescent="0.25"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2:16" s="7" customFormat="1" ht="24" customHeight="1" x14ac:dyDescent="0.25"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2:16" s="7" customFormat="1" ht="24" customHeight="1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2:16" s="7" customFormat="1" ht="24" customHeight="1" x14ac:dyDescent="0.25"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2:16" s="7" customFormat="1" ht="24" customHeight="1" x14ac:dyDescent="0.25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2:16" s="7" customFormat="1" ht="24" customHeight="1" x14ac:dyDescent="0.25"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2:16" s="7" customFormat="1" ht="24" customHeight="1" x14ac:dyDescent="0.25"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2:16" s="7" customFormat="1" ht="24" customHeight="1" x14ac:dyDescent="0.25"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2:16" s="7" customFormat="1" ht="24" customHeight="1" x14ac:dyDescent="0.25"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spans="2:16" s="7" customFormat="1" ht="24" customHeight="1" x14ac:dyDescent="0.25"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spans="2:16" s="7" customFormat="1" ht="24" customHeight="1" x14ac:dyDescent="0.25"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spans="2:16" s="7" customFormat="1" ht="24" customHeight="1" x14ac:dyDescent="0.25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spans="2:16" s="7" customFormat="1" ht="24" customHeight="1" x14ac:dyDescent="0.25"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spans="2:15" s="7" customFormat="1" ht="24" customHeight="1" x14ac:dyDescent="0.25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spans="2:15" s="7" customFormat="1" ht="24" customHeight="1" x14ac:dyDescent="0.25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spans="2:15" s="7" customFormat="1" ht="24" customHeight="1" x14ac:dyDescent="0.25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spans="2:15" s="7" customFormat="1" ht="24" customHeight="1" x14ac:dyDescent="0.25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2:15" s="7" customFormat="1" ht="24" customHeight="1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spans="2:15" s="8" customFormat="1" ht="24" customHeight="1" x14ac:dyDescent="0.25"/>
    <row r="23" spans="2:15" s="7" customFormat="1" ht="24" customHeight="1" x14ac:dyDescent="0.25"/>
    <row r="24" spans="2:15" s="7" customFormat="1" ht="24" customHeight="1" x14ac:dyDescent="0.25"/>
    <row r="25" spans="2:15" s="7" customFormat="1" ht="24" customHeight="1" x14ac:dyDescent="0.25"/>
    <row r="26" spans="2:15" s="7" customFormat="1" ht="24" customHeight="1" x14ac:dyDescent="0.25"/>
    <row r="27" spans="2:15" s="7" customFormat="1" ht="24" customHeight="1" x14ac:dyDescent="0.25"/>
    <row r="28" spans="2:15" s="7" customFormat="1" ht="24" customHeight="1" x14ac:dyDescent="0.25"/>
    <row r="29" spans="2:15" s="7" customFormat="1" ht="24" customHeight="1" x14ac:dyDescent="0.25"/>
    <row r="30" spans="2:15" s="7" customFormat="1" ht="24" customHeight="1" x14ac:dyDescent="0.25"/>
    <row r="31" spans="2:15" s="7" customFormat="1" ht="24" customHeight="1" x14ac:dyDescent="0.25"/>
    <row r="32" spans="2:15" s="7" customFormat="1" ht="24" customHeight="1" x14ac:dyDescent="0.25"/>
    <row r="33" s="7" customFormat="1" ht="24" customHeight="1" x14ac:dyDescent="0.25"/>
    <row r="34" s="7" customFormat="1" ht="24" customHeight="1" x14ac:dyDescent="0.25"/>
    <row r="35" s="7" customFormat="1" ht="24" customHeight="1" x14ac:dyDescent="0.25"/>
    <row r="36" s="7" customFormat="1" ht="24" customHeight="1" x14ac:dyDescent="0.25"/>
    <row r="37" s="7" customFormat="1" ht="24" customHeight="1" x14ac:dyDescent="0.25"/>
    <row r="38" s="7" customFormat="1" ht="24" customHeight="1" x14ac:dyDescent="0.25"/>
    <row r="39" s="7" customFormat="1" ht="24" customHeight="1" x14ac:dyDescent="0.25"/>
    <row r="40" s="7" customFormat="1" ht="24" customHeight="1" x14ac:dyDescent="0.25"/>
    <row r="41" s="7" customFormat="1" ht="24" customHeight="1" x14ac:dyDescent="0.25"/>
    <row r="42" s="7" customFormat="1" ht="24" customHeight="1" x14ac:dyDescent="0.25"/>
    <row r="43" s="7" customFormat="1" ht="24" customHeight="1" x14ac:dyDescent="0.25"/>
    <row r="44" s="7" customFormat="1" ht="24" customHeight="1" x14ac:dyDescent="0.25"/>
    <row r="45" s="7" customFormat="1" ht="24" customHeight="1" x14ac:dyDescent="0.25"/>
    <row r="52" ht="24" customHeight="1" x14ac:dyDescent="0.25"/>
  </sheetData>
  <pageMargins left="0.25" right="0.25" top="0.75" bottom="0.75" header="0.3" footer="0.3"/>
  <pageSetup paperSize="9" scale="76" orientation="landscape" r:id="rId1"/>
  <colBreaks count="1" manualBreakCount="1">
    <brk id="20" max="23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AB711-89DD-4B49-955C-A8D0C5AD8EDA}">
  <sheetPr>
    <tabColor rgb="FF459ADB"/>
  </sheetPr>
  <dimension ref="B1:P23"/>
  <sheetViews>
    <sheetView showGridLines="0" showRowColHeaders="0" zoomScaleNormal="100" workbookViewId="0"/>
  </sheetViews>
  <sheetFormatPr defaultColWidth="5.7109375" defaultRowHeight="24" customHeight="1" x14ac:dyDescent="0.25"/>
  <cols>
    <col min="1" max="1" width="2.7109375" style="1" customWidth="1"/>
    <col min="2" max="2" width="11.28515625" style="1" bestFit="1" customWidth="1"/>
    <col min="3" max="16" width="10.7109375" style="1" customWidth="1"/>
    <col min="17" max="16384" width="5.7109375" style="1"/>
  </cols>
  <sheetData>
    <row r="1" spans="2:16" s="5" customFormat="1" ht="45" customHeight="1" thickBot="1" x14ac:dyDescent="0.3">
      <c r="P1" s="6"/>
    </row>
    <row r="2" spans="2:16" ht="9.9499999999999993" customHeight="1" thickTop="1" x14ac:dyDescent="0.25"/>
    <row r="3" spans="2:16" ht="24" customHeight="1" x14ac:dyDescent="0.25">
      <c r="B3" s="3"/>
    </row>
    <row r="4" spans="2:16" ht="24" customHeight="1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</row>
    <row r="5" spans="2:16" ht="24" customHeight="1" x14ac:dyDescent="0.25">
      <c r="B5"/>
      <c r="C5"/>
      <c r="D5"/>
      <c r="E5"/>
      <c r="F5"/>
      <c r="G5"/>
      <c r="H5"/>
      <c r="I5"/>
      <c r="J5"/>
      <c r="K5"/>
      <c r="L5"/>
      <c r="M5"/>
      <c r="N5"/>
      <c r="O5"/>
    </row>
    <row r="6" spans="2:16" ht="24" customHeight="1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spans="2:16" ht="24" customHeight="1" x14ac:dyDescent="0.25">
      <c r="B7"/>
      <c r="C7"/>
      <c r="D7"/>
      <c r="E7"/>
      <c r="F7"/>
      <c r="G7"/>
      <c r="H7"/>
      <c r="I7"/>
      <c r="J7"/>
      <c r="K7"/>
      <c r="L7"/>
      <c r="M7"/>
      <c r="N7"/>
      <c r="O7"/>
    </row>
    <row r="8" spans="2:16" ht="24" customHeight="1" x14ac:dyDescent="0.25">
      <c r="B8"/>
      <c r="C8"/>
      <c r="D8"/>
      <c r="E8"/>
      <c r="F8"/>
      <c r="G8"/>
      <c r="H8"/>
      <c r="I8"/>
      <c r="J8"/>
      <c r="K8"/>
      <c r="L8"/>
      <c r="M8"/>
      <c r="N8"/>
      <c r="O8"/>
    </row>
    <row r="9" spans="2:16" ht="24" customHeight="1" x14ac:dyDescent="0.25">
      <c r="B9"/>
      <c r="C9"/>
      <c r="D9"/>
      <c r="E9"/>
      <c r="F9"/>
      <c r="G9"/>
      <c r="H9"/>
      <c r="I9"/>
      <c r="J9"/>
      <c r="K9"/>
      <c r="L9"/>
      <c r="M9"/>
      <c r="N9"/>
      <c r="O9"/>
    </row>
    <row r="10" spans="2:16" ht="24" customHeight="1" x14ac:dyDescent="0.25"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2:16" ht="24" customHeight="1" x14ac:dyDescent="0.25"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2:16" ht="24" customHeight="1" x14ac:dyDescent="0.25"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2:16" ht="24" customHeight="1" x14ac:dyDescent="0.25"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2:16" ht="24" customHeight="1" x14ac:dyDescent="0.25"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2:16" ht="24" customHeight="1" x14ac:dyDescent="0.25"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2:16" ht="24" customHeight="1" x14ac:dyDescent="0.25"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2:15" ht="24" customHeight="1" x14ac:dyDescent="0.25"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2:15" ht="24" customHeight="1" x14ac:dyDescent="0.25"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2:15" ht="24" customHeight="1" x14ac:dyDescent="0.25"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2:15" ht="24" customHeight="1" x14ac:dyDescent="0.25"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2:15" ht="24" customHeight="1" x14ac:dyDescent="0.25"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2:15" ht="24" customHeight="1" x14ac:dyDescent="0.25"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2:15" customFormat="1" ht="24" customHeight="1" x14ac:dyDescent="0.25"/>
  </sheetData>
  <pageMargins left="0.25" right="0.25" top="0.75" bottom="0.75" header="0.3" footer="0.3"/>
  <pageSetup paperSize="9" scale="76" orientation="landscape" r:id="rId1"/>
  <colBreaks count="1" manualBreakCount="1">
    <brk id="20" max="23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B2CD2-E99B-48F4-BB15-FF7C90354164}">
  <sheetPr>
    <tabColor rgb="FFFFC000"/>
  </sheetPr>
  <dimension ref="C11:L26"/>
  <sheetViews>
    <sheetView workbookViewId="0">
      <selection activeCell="E35" sqref="E35"/>
    </sheetView>
  </sheetViews>
  <sheetFormatPr defaultRowHeight="15" x14ac:dyDescent="0.25"/>
  <cols>
    <col min="4" max="4" width="19.85546875" bestFit="1" customWidth="1"/>
  </cols>
  <sheetData>
    <row r="11" spans="3:12" x14ac:dyDescent="0.25">
      <c r="C11" s="37" t="e">
        <f>RANK(G11,G$11:G$25)</f>
        <v>#REF!</v>
      </c>
      <c r="D11" t="str">
        <f>Dados!B22</f>
        <v>Moradia</v>
      </c>
      <c r="E11" s="38">
        <f>Dados!O22</f>
        <v>0</v>
      </c>
      <c r="F11">
        <v>1.5E-3</v>
      </c>
      <c r="G11" s="38">
        <f>E11+F11</f>
        <v>1.5E-3</v>
      </c>
      <c r="J11">
        <v>1</v>
      </c>
      <c r="K11" t="e">
        <f>VLOOKUP(J11,C$11:G$25,2,FALSE)</f>
        <v>#N/A</v>
      </c>
      <c r="L11" s="38" t="e">
        <f>VLOOKUP(J11,C$11:G$25,5,FALSE)</f>
        <v>#N/A</v>
      </c>
    </row>
    <row r="12" spans="3:12" x14ac:dyDescent="0.25">
      <c r="C12" s="37" t="e">
        <f t="shared" ref="C12:C25" si="0">RANK(G12,G$11:G$25)</f>
        <v>#REF!</v>
      </c>
      <c r="D12" t="str">
        <f>Dados!B23</f>
        <v>Alimentação</v>
      </c>
      <c r="E12" s="38">
        <f>Dados!O23</f>
        <v>0</v>
      </c>
      <c r="F12">
        <v>1.4E-3</v>
      </c>
      <c r="G12" s="38">
        <f t="shared" ref="G12:G25" si="1">E12+F12</f>
        <v>1.4E-3</v>
      </c>
      <c r="J12">
        <v>2</v>
      </c>
      <c r="K12" t="e">
        <f t="shared" ref="K12:K25" si="2">VLOOKUP(J12,C$11:G$25,2,FALSE)</f>
        <v>#N/A</v>
      </c>
      <c r="L12" s="38" t="e">
        <f t="shared" ref="L12:L25" si="3">VLOOKUP(J12,C$11:G$25,5,FALSE)</f>
        <v>#N/A</v>
      </c>
    </row>
    <row r="13" spans="3:12" x14ac:dyDescent="0.25">
      <c r="C13" s="37" t="e">
        <f t="shared" si="0"/>
        <v>#REF!</v>
      </c>
      <c r="D13" t="str">
        <f>Dados!B24</f>
        <v>Transporte</v>
      </c>
      <c r="E13" s="38">
        <f>Dados!O24</f>
        <v>0</v>
      </c>
      <c r="F13">
        <v>1.2999999999999999E-3</v>
      </c>
      <c r="G13" s="38">
        <f t="shared" si="1"/>
        <v>1.2999999999999999E-3</v>
      </c>
      <c r="J13">
        <v>3</v>
      </c>
      <c r="K13" t="e">
        <f t="shared" si="2"/>
        <v>#N/A</v>
      </c>
      <c r="L13" s="38" t="e">
        <f t="shared" si="3"/>
        <v>#N/A</v>
      </c>
    </row>
    <row r="14" spans="3:12" x14ac:dyDescent="0.25">
      <c r="C14" s="37" t="e">
        <f t="shared" si="0"/>
        <v>#REF!</v>
      </c>
      <c r="D14" t="str">
        <f>Dados!B25</f>
        <v>Educação</v>
      </c>
      <c r="E14" s="38">
        <f>Dados!O25</f>
        <v>0</v>
      </c>
      <c r="F14">
        <v>1.1999999999999999E-3</v>
      </c>
      <c r="G14" s="38">
        <f t="shared" si="1"/>
        <v>1.1999999999999999E-3</v>
      </c>
      <c r="J14">
        <v>4</v>
      </c>
      <c r="K14" t="e">
        <f t="shared" si="2"/>
        <v>#N/A</v>
      </c>
      <c r="L14" s="38" t="e">
        <f t="shared" si="3"/>
        <v>#N/A</v>
      </c>
    </row>
    <row r="15" spans="3:12" x14ac:dyDescent="0.25">
      <c r="C15" s="37" t="e">
        <f t="shared" si="0"/>
        <v>#REF!</v>
      </c>
      <c r="D15" t="str">
        <f>Dados!B26</f>
        <v>Lazer</v>
      </c>
      <c r="E15" s="38">
        <f>Dados!O26</f>
        <v>0</v>
      </c>
      <c r="F15">
        <v>1.1000000000000001E-3</v>
      </c>
      <c r="G15" s="38">
        <f t="shared" si="1"/>
        <v>1.1000000000000001E-3</v>
      </c>
      <c r="J15">
        <v>5</v>
      </c>
      <c r="K15" t="e">
        <f t="shared" si="2"/>
        <v>#N/A</v>
      </c>
      <c r="L15" s="38" t="e">
        <f t="shared" si="3"/>
        <v>#N/A</v>
      </c>
    </row>
    <row r="16" spans="3:12" x14ac:dyDescent="0.25">
      <c r="C16" s="37" t="e">
        <f t="shared" si="0"/>
        <v>#REF!</v>
      </c>
      <c r="D16" t="str">
        <f>Dados!B27</f>
        <v>Saúde &amp; Beleza</v>
      </c>
      <c r="E16" s="38">
        <f>Dados!O27</f>
        <v>0</v>
      </c>
      <c r="F16">
        <v>1E-3</v>
      </c>
      <c r="G16" s="38">
        <f t="shared" si="1"/>
        <v>1E-3</v>
      </c>
      <c r="J16">
        <v>6</v>
      </c>
      <c r="K16" t="e">
        <f t="shared" si="2"/>
        <v>#N/A</v>
      </c>
      <c r="L16" s="38" t="e">
        <f t="shared" si="3"/>
        <v>#N/A</v>
      </c>
    </row>
    <row r="17" spans="3:12" x14ac:dyDescent="0.25">
      <c r="C17" s="37" t="e">
        <f t="shared" si="0"/>
        <v>#REF!</v>
      </c>
      <c r="D17" t="str">
        <f>Dados!B28</f>
        <v>Investimentos</v>
      </c>
      <c r="E17" s="38">
        <f>Dados!O28</f>
        <v>0</v>
      </c>
      <c r="F17">
        <v>8.9999999999999998E-4</v>
      </c>
      <c r="G17" s="38">
        <f t="shared" si="1"/>
        <v>8.9999999999999998E-4</v>
      </c>
      <c r="J17">
        <v>7</v>
      </c>
      <c r="K17" t="e">
        <f t="shared" si="2"/>
        <v>#N/A</v>
      </c>
      <c r="L17" s="38" t="e">
        <f t="shared" si="3"/>
        <v>#N/A</v>
      </c>
    </row>
    <row r="18" spans="3:12" x14ac:dyDescent="0.25">
      <c r="C18" s="37" t="e">
        <f t="shared" si="0"/>
        <v>#REF!</v>
      </c>
      <c r="D18" t="str">
        <f>Dados!B29</f>
        <v>Pisicologa</v>
      </c>
      <c r="E18" s="38">
        <f>Dados!O29</f>
        <v>0</v>
      </c>
      <c r="F18">
        <v>8.0000000000000004E-4</v>
      </c>
      <c r="G18" s="38">
        <f t="shared" si="1"/>
        <v>8.0000000000000004E-4</v>
      </c>
      <c r="J18">
        <v>8</v>
      </c>
      <c r="K18" t="e">
        <f t="shared" si="2"/>
        <v>#N/A</v>
      </c>
      <c r="L18" s="38" t="e">
        <f t="shared" si="3"/>
        <v>#N/A</v>
      </c>
    </row>
    <row r="19" spans="3:12" x14ac:dyDescent="0.25">
      <c r="C19" s="37" t="e">
        <f t="shared" si="0"/>
        <v>#REF!</v>
      </c>
      <c r="D19" t="str">
        <f>Dados!B30</f>
        <v>Internet</v>
      </c>
      <c r="E19" s="38">
        <f>Dados!O30</f>
        <v>0</v>
      </c>
      <c r="F19">
        <v>6.9999999999999999E-4</v>
      </c>
      <c r="G19" s="38">
        <f t="shared" si="1"/>
        <v>6.9999999999999999E-4</v>
      </c>
      <c r="J19">
        <v>9</v>
      </c>
      <c r="K19" t="e">
        <f t="shared" si="2"/>
        <v>#N/A</v>
      </c>
      <c r="L19" s="38" t="e">
        <f t="shared" si="3"/>
        <v>#N/A</v>
      </c>
    </row>
    <row r="20" spans="3:12" x14ac:dyDescent="0.25">
      <c r="C20" s="37" t="e">
        <f t="shared" si="0"/>
        <v>#REF!</v>
      </c>
      <c r="D20" t="str">
        <f>Dados!B31</f>
        <v>Animais (Itau Visa)</v>
      </c>
      <c r="E20" s="38">
        <f>Dados!O31</f>
        <v>0</v>
      </c>
      <c r="F20">
        <v>5.9999999999999995E-4</v>
      </c>
      <c r="G20" s="38">
        <f t="shared" si="1"/>
        <v>5.9999999999999995E-4</v>
      </c>
      <c r="J20">
        <v>10</v>
      </c>
      <c r="K20" t="e">
        <f t="shared" si="2"/>
        <v>#N/A</v>
      </c>
      <c r="L20" s="38" t="e">
        <f t="shared" si="3"/>
        <v>#N/A</v>
      </c>
    </row>
    <row r="21" spans="3:12" x14ac:dyDescent="0.25">
      <c r="C21" s="37" t="e">
        <f t="shared" si="0"/>
        <v>#REF!</v>
      </c>
      <c r="D21" t="str">
        <f>Dados!B32</f>
        <v>Limpa nome</v>
      </c>
      <c r="E21" s="38">
        <f>Dados!O32</f>
        <v>0</v>
      </c>
      <c r="F21">
        <v>5.0000000000000001E-4</v>
      </c>
      <c r="G21" s="38">
        <f t="shared" si="1"/>
        <v>5.0000000000000001E-4</v>
      </c>
      <c r="J21">
        <v>11</v>
      </c>
      <c r="K21" t="e">
        <f t="shared" si="2"/>
        <v>#N/A</v>
      </c>
      <c r="L21" s="38" t="e">
        <f t="shared" si="3"/>
        <v>#N/A</v>
      </c>
    </row>
    <row r="22" spans="3:12" x14ac:dyDescent="0.25">
      <c r="C22" s="37" t="e">
        <f t="shared" si="0"/>
        <v>#REF!</v>
      </c>
      <c r="D22" t="str">
        <f>Dados!B33</f>
        <v>Emprestimo</v>
      </c>
      <c r="E22" s="38">
        <f>Dados!O33</f>
        <v>0</v>
      </c>
      <c r="F22">
        <v>4.0000000000000002E-4</v>
      </c>
      <c r="G22" s="38">
        <f t="shared" si="1"/>
        <v>4.0000000000000002E-4</v>
      </c>
      <c r="J22">
        <v>12</v>
      </c>
      <c r="K22" t="e">
        <f t="shared" si="2"/>
        <v>#N/A</v>
      </c>
      <c r="L22" s="38" t="e">
        <f t="shared" si="3"/>
        <v>#N/A</v>
      </c>
    </row>
    <row r="23" spans="3:12" x14ac:dyDescent="0.25">
      <c r="C23" s="37" t="e">
        <f t="shared" si="0"/>
        <v>#REF!</v>
      </c>
      <c r="D23" t="str">
        <f>Dados!B34</f>
        <v>Itau Master</v>
      </c>
      <c r="E23" s="38">
        <f>Dados!O34</f>
        <v>0</v>
      </c>
      <c r="F23">
        <v>2.9999999999999997E-4</v>
      </c>
      <c r="G23" s="38">
        <f t="shared" si="1"/>
        <v>2.9999999999999997E-4</v>
      </c>
      <c r="J23">
        <v>13</v>
      </c>
      <c r="K23" t="e">
        <f t="shared" si="2"/>
        <v>#N/A</v>
      </c>
      <c r="L23" s="38" t="e">
        <f t="shared" si="3"/>
        <v>#N/A</v>
      </c>
    </row>
    <row r="24" spans="3:12" x14ac:dyDescent="0.25">
      <c r="C24" s="37" t="e">
        <f t="shared" si="0"/>
        <v>#REF!</v>
      </c>
      <c r="D24" t="e">
        <f>Dados!#REF!</f>
        <v>#REF!</v>
      </c>
      <c r="E24" s="38" t="e">
        <f>Dados!#REF!</f>
        <v>#REF!</v>
      </c>
      <c r="F24">
        <v>2.0000000000000001E-4</v>
      </c>
      <c r="G24" s="38" t="e">
        <f t="shared" si="1"/>
        <v>#REF!</v>
      </c>
      <c r="J24">
        <v>14</v>
      </c>
      <c r="K24" t="e">
        <f t="shared" si="2"/>
        <v>#N/A</v>
      </c>
      <c r="L24" s="38" t="e">
        <f t="shared" si="3"/>
        <v>#N/A</v>
      </c>
    </row>
    <row r="25" spans="3:12" x14ac:dyDescent="0.25">
      <c r="C25" s="37" t="e">
        <f t="shared" si="0"/>
        <v>#REF!</v>
      </c>
      <c r="D25" t="str">
        <f>Dados!B35</f>
        <v>NuBank</v>
      </c>
      <c r="E25" s="38">
        <f>Dados!O35</f>
        <v>0</v>
      </c>
      <c r="F25">
        <v>1E-4</v>
      </c>
      <c r="G25" s="38">
        <f t="shared" si="1"/>
        <v>1E-4</v>
      </c>
      <c r="J25">
        <v>15</v>
      </c>
      <c r="K25" t="e">
        <f t="shared" si="2"/>
        <v>#N/A</v>
      </c>
      <c r="L25" s="38" t="e">
        <f t="shared" si="3"/>
        <v>#N/A</v>
      </c>
    </row>
    <row r="26" spans="3:12" x14ac:dyDescent="0.25">
      <c r="E26" s="38"/>
    </row>
  </sheetData>
  <sortState xmlns:xlrd2="http://schemas.microsoft.com/office/spreadsheetml/2017/richdata2" ref="J11:J25">
    <sortCondition descending="1" ref="J11:J25"/>
  </sortState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3</vt:i4>
      </vt:variant>
    </vt:vector>
  </HeadingPairs>
  <TitlesOfParts>
    <vt:vector size="7" baseType="lpstr">
      <vt:lpstr>Dados</vt:lpstr>
      <vt:lpstr>Dashboard</vt:lpstr>
      <vt:lpstr>Mais Produtos</vt:lpstr>
      <vt:lpstr>AUX</vt:lpstr>
      <vt:lpstr>Dados!Area_de_impressao</vt:lpstr>
      <vt:lpstr>Dashboard!Area_de_impressao</vt:lpstr>
      <vt:lpstr>'Mais Produtos'!Area_de_impressao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Áurea Angelo</dc:creator>
  <cp:lastModifiedBy>Leandro Lesnik</cp:lastModifiedBy>
  <cp:lastPrinted>2022-03-05T18:15:11Z</cp:lastPrinted>
  <dcterms:created xsi:type="dcterms:W3CDTF">2015-06-05T18:19:34Z</dcterms:created>
  <dcterms:modified xsi:type="dcterms:W3CDTF">2025-10-24T17:07:36Z</dcterms:modified>
</cp:coreProperties>
</file>